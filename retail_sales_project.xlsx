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cbc1f2257c95af6/Desktop/IIT-kanpur-2025/Prompt-Engineering_Project/"/>
    </mc:Choice>
  </mc:AlternateContent>
  <xr:revisionPtr revIDLastSave="421" documentId="11_DF76C91F415C379236539CD20DFF582CF0A9F89F" xr6:coauthVersionLast="47" xr6:coauthVersionMax="47" xr10:uidLastSave="{50EE6A92-95C2-4680-872B-FDD77166A5C0}"/>
  <bookViews>
    <workbookView xWindow="-108" yWindow="-108" windowWidth="23256" windowHeight="12456" firstSheet="2" activeTab="3" xr2:uid="{00000000-000D-0000-FFFF-FFFF00000000}"/>
  </bookViews>
  <sheets>
    <sheet name="Revenue by Product" sheetId="7" r:id="rId1"/>
    <sheet name="Revenue by City" sheetId="8" r:id="rId2"/>
    <sheet name="City Revenue Pivot Table" sheetId="9" r:id="rId3"/>
    <sheet name="Sales Dashboard." sheetId="10" r:id="rId4"/>
    <sheet name="KPI Revenue" sheetId="13" r:id="rId5"/>
    <sheet name="Sales Data" sheetId="1" r:id="rId6"/>
    <sheet name="retail_sales_project" sheetId="4" r:id="rId7"/>
    <sheet name="EXcel formula" sheetId="5" r:id="rId8"/>
    <sheet name="Analysis" sheetId="2" r:id="rId9"/>
    <sheet name="Prompt Practice" sheetId="3" r:id="rId10"/>
    <sheet name="Pivot-Table" sheetId="6" r:id="rId11"/>
  </sheets>
  <definedNames>
    <definedName name="Slicer_Product">#N/A</definedName>
  </definedNames>
  <calcPr calcId="191029"/>
  <pivotCaches>
    <pivotCache cacheId="19"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 i="10" l="1"/>
  <c r="F1" i="10"/>
  <c r="C1" i="10"/>
  <c r="H63" i="6"/>
  <c r="G63" i="6"/>
  <c r="G62" i="6"/>
  <c r="H62" i="6" s="1"/>
  <c r="G61" i="6"/>
  <c r="H61" i="6" s="1"/>
  <c r="H60" i="6"/>
  <c r="G60" i="6"/>
  <c r="G59" i="6"/>
  <c r="H59" i="6" s="1"/>
  <c r="G58" i="6"/>
  <c r="H58" i="6" s="1"/>
  <c r="H57" i="6"/>
  <c r="G57" i="6"/>
  <c r="G56" i="6"/>
  <c r="H56" i="6" s="1"/>
  <c r="G55" i="6"/>
  <c r="H55" i="6" s="1"/>
  <c r="H54" i="6"/>
  <c r="G54" i="6"/>
  <c r="G53" i="6"/>
  <c r="H53" i="6" s="1"/>
  <c r="H52" i="6"/>
  <c r="G52" i="6"/>
  <c r="H51" i="6"/>
  <c r="G51" i="6"/>
  <c r="H50" i="6"/>
  <c r="G50" i="6"/>
  <c r="H49" i="6"/>
  <c r="G49" i="6"/>
  <c r="H48" i="6"/>
  <c r="G48" i="6"/>
  <c r="H47" i="6"/>
  <c r="G47" i="6"/>
  <c r="H46" i="6"/>
  <c r="G46" i="6"/>
  <c r="H45" i="6"/>
  <c r="G45" i="6"/>
  <c r="H44" i="6"/>
  <c r="G44" i="6"/>
  <c r="H43" i="6"/>
  <c r="G43" i="6"/>
  <c r="H42" i="6"/>
  <c r="G42" i="6"/>
  <c r="H41" i="6"/>
  <c r="G41" i="6"/>
  <c r="H40" i="6"/>
  <c r="G40" i="6"/>
  <c r="H39" i="6"/>
  <c r="G39" i="6"/>
  <c r="H38" i="6"/>
  <c r="G38" i="6"/>
  <c r="H37" i="6"/>
  <c r="G37" i="6"/>
  <c r="H36" i="6"/>
  <c r="G36" i="6"/>
  <c r="H35" i="6"/>
  <c r="G35" i="6"/>
  <c r="H34" i="6"/>
  <c r="G34" i="6"/>
  <c r="H33" i="6"/>
  <c r="G33" i="6"/>
  <c r="H32" i="6"/>
  <c r="G32" i="6"/>
  <c r="H31" i="6"/>
  <c r="G31" i="6"/>
  <c r="H30" i="6"/>
  <c r="G30" i="6"/>
  <c r="H29" i="6"/>
  <c r="G29" i="6"/>
  <c r="H28" i="6"/>
  <c r="G28" i="6"/>
  <c r="H27" i="6"/>
  <c r="G27" i="6"/>
  <c r="H26" i="6"/>
  <c r="G26" i="6"/>
  <c r="H25" i="6"/>
  <c r="G25" i="6"/>
  <c r="H24" i="6"/>
  <c r="G24" i="6"/>
  <c r="H23" i="6"/>
  <c r="G23" i="6"/>
  <c r="H22" i="6"/>
  <c r="G22" i="6"/>
  <c r="H21" i="6"/>
  <c r="G21" i="6"/>
  <c r="H20" i="6"/>
  <c r="G20" i="6"/>
  <c r="H19" i="6"/>
  <c r="G19" i="6"/>
  <c r="H18" i="6"/>
  <c r="G18" i="6"/>
  <c r="H17" i="6"/>
  <c r="G17" i="6"/>
  <c r="H16" i="6"/>
  <c r="G16" i="6"/>
  <c r="H15" i="6"/>
  <c r="G15" i="6"/>
  <c r="H14" i="6"/>
  <c r="G14" i="6"/>
  <c r="H13" i="6"/>
  <c r="G13" i="6"/>
  <c r="H12" i="6"/>
  <c r="G12" i="6"/>
  <c r="H11" i="6"/>
  <c r="G11" i="6"/>
  <c r="H10" i="6"/>
  <c r="G10" i="6"/>
  <c r="H9" i="6"/>
  <c r="G9" i="6"/>
  <c r="H8" i="6"/>
  <c r="G8" i="6"/>
  <c r="H7" i="6"/>
  <c r="G7" i="6"/>
  <c r="H6" i="6"/>
  <c r="G6" i="6"/>
  <c r="H5" i="6"/>
  <c r="G5" i="6"/>
  <c r="H4" i="6"/>
  <c r="G4" i="6"/>
  <c r="D115" i="4"/>
  <c r="D114" i="4"/>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2" i="1"/>
  <c r="C108" i="4"/>
  <c r="C106" i="4"/>
  <c r="C100" i="4"/>
  <c r="C95" i="4"/>
  <c r="C90" i="4"/>
  <c r="C86" i="4"/>
  <c r="C85" i="4"/>
  <c r="C79" i="4"/>
  <c r="C78" i="4"/>
  <c r="C77" i="4"/>
  <c r="B72" i="4"/>
  <c r="E63" i="4"/>
  <c r="E64" i="4"/>
  <c r="E65" i="4"/>
  <c r="E66" i="4"/>
  <c r="E62" i="4"/>
  <c r="C63" i="4"/>
  <c r="C64" i="4"/>
  <c r="C65" i="4"/>
  <c r="C66" i="4"/>
  <c r="C62" i="4"/>
  <c r="D66" i="4"/>
  <c r="D65" i="4"/>
  <c r="D64" i="4"/>
  <c r="D63" i="4"/>
  <c r="D62" i="4"/>
  <c r="B56" i="4"/>
  <c r="B50" i="4"/>
  <c r="B46" i="4"/>
  <c r="B41" i="4"/>
  <c r="B36" i="4"/>
  <c r="B31" i="4"/>
  <c r="B26" i="4"/>
  <c r="B21" i="4"/>
  <c r="B16" i="4"/>
  <c r="B11" i="4"/>
  <c r="B2" i="4"/>
  <c r="B6" i="4"/>
  <c r="B15" i="2"/>
  <c r="B14" i="2"/>
  <c r="B13" i="2"/>
  <c r="B12" i="2"/>
  <c r="B11" i="2"/>
  <c r="B10" i="2"/>
  <c r="E6" i="2"/>
  <c r="E5" i="2"/>
  <c r="E4" i="2"/>
  <c r="B4" i="2"/>
  <c r="E3" i="2"/>
  <c r="B3" i="2"/>
  <c r="E2" i="2"/>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6" i="2" s="1"/>
  <c r="B2" i="2" l="1"/>
  <c r="B5" i="2" s="1"/>
</calcChain>
</file>

<file path=xl/sharedStrings.xml><?xml version="1.0" encoding="utf-8"?>
<sst xmlns="http://schemas.openxmlformats.org/spreadsheetml/2006/main" count="472" uniqueCount="186">
  <si>
    <t>Order ID</t>
  </si>
  <si>
    <t>Date</t>
  </si>
  <si>
    <t>Month</t>
  </si>
  <si>
    <t>City</t>
  </si>
  <si>
    <t>Product</t>
  </si>
  <si>
    <t>Units</t>
  </si>
  <si>
    <t>Unit Price (£)</t>
  </si>
  <si>
    <t>Revenue (£)</t>
  </si>
  <si>
    <t>ORD-001</t>
  </si>
  <si>
    <t>Oxford</t>
  </si>
  <si>
    <t>Mouse</t>
  </si>
  <si>
    <t>ORD-002</t>
  </si>
  <si>
    <t>Bristol</t>
  </si>
  <si>
    <t>Keyboard</t>
  </si>
  <si>
    <t>ORD-003</t>
  </si>
  <si>
    <t>Reading</t>
  </si>
  <si>
    <t>Laptop</t>
  </si>
  <si>
    <t>ORD-004</t>
  </si>
  <si>
    <t>London</t>
  </si>
  <si>
    <t>Monitor</t>
  </si>
  <si>
    <t>ORD-005</t>
  </si>
  <si>
    <t>Headphones</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</si>
  <si>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</si>
  <si>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</si>
  <si>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</si>
  <si>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</si>
  <si>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</si>
  <si>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</si>
  <si>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</si>
  <si>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</si>
  <si>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</si>
  <si>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</si>
  <si>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</si>
  <si>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</si>
  <si>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</si>
  <si>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</si>
  <si>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</si>
  <si>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</si>
  <si>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</si>
  <si>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</si>
  <si>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</si>
  <si>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</si>
  <si>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</si>
  <si>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</si>
  <si>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</si>
  <si>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</si>
  <si>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</si>
  <si>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</si>
  <si>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</si>
  <si>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</si>
  <si>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</si>
  <si>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</si>
  <si>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</si>
  <si>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</si>
  <si>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</si>
  <si>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</si>
  <si>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</si>
  <si>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</si>
  <si>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</si>
  <si>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</si>
  <si>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</si>
  <si>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</si>
  <si>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</si>
  <si>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</si>
  <si>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</si>
  <si>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</si>
  <si>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</si>
  <si>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</si>
  <si>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</si>
  <si>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</si>
  <si>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</si>
  <si>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</si>
  <si>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</si>
  <si>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</si>
  <si>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</si>
  <si>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</si>
  <si>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</si>
  <si>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Sales summary</t>
  </si>
  <si>
    <t>Value</t>
  </si>
  <si>
    <t>Total revenue</t>
  </si>
  <si>
    <t>Total orders</t>
  </si>
  <si>
    <t>Total units</t>
  </si>
  <si>
    <t>Average order revenue</t>
  </si>
  <si>
    <t>Highest-value order</t>
  </si>
  <si>
    <t>Step</t>
  </si>
  <si>
    <t>Skill</t>
  </si>
  <si>
    <t>Try this prompt</t>
  </si>
  <si>
    <t>How to verify</t>
  </si>
  <si>
    <t>1</t>
  </si>
  <si>
    <t>Understand the data</t>
  </si>
  <si>
    <t>Act as a junior data analyst. I have an Excel dataset with Order ID, Date, Month, City, Product, Units, Unit Price and Revenue. Explain what questions this dataset can answer. Do not claim to have analysed the file unless I attach it.</t>
  </si>
  <si>
    <t>Check that proposed questions can be answered by columns.</t>
  </si>
  <si>
    <t>2</t>
  </si>
  <si>
    <t>Write an effective prompt</t>
  </si>
  <si>
    <t>Act as a retail data analyst. Using my attached Sales Data sheet, report total revenue, total orders and top product by revenue. Present results in a 3-row table and show the calculation logic. Do not invent missing data.</t>
  </si>
  <si>
    <t>Compare totals with Analysis tab.</t>
  </si>
  <si>
    <t>3</t>
  </si>
  <si>
    <t>SQL prompting</t>
  </si>
  <si>
    <t>Write a beginner-friendly MySQL query that calculates revenue by product from a sales table with columns product, units and unit_price. Explain each line and assume revenue = units * unit_price.</t>
  </si>
  <si>
    <t>Run the query on a properly imported dataset.</t>
  </si>
  <si>
    <t>4</t>
  </si>
  <si>
    <t>Excel prompting</t>
  </si>
  <si>
    <t>Suggest the Excel formulas to calculate revenue per order and revenue by month in my workbook. Explain which cells to use and why.</t>
  </si>
  <si>
    <t>Compare to H2 and monthly SUMIF formulas.</t>
  </si>
  <si>
    <t>5</t>
  </si>
  <si>
    <t>Insight writing</t>
  </si>
  <si>
    <t>Based on the monthly revenue values that I paste, write 3 concise business insights. Distinguish observed trends from possible causes. Do not guess reasons that the data cannot establish.</t>
  </si>
  <si>
    <t>Verify each number, and check assumptions.</t>
  </si>
  <si>
    <t>6</t>
  </si>
  <si>
    <t>Improving prompts</t>
  </si>
  <si>
    <t>Critique my prompt for ambiguity, lack of context and missing output requirements. Then rewrite it to be more precise and testable.</t>
  </si>
  <si>
    <t>Compare initial and improved output.</t>
  </si>
  <si>
    <t>7</t>
  </si>
  <si>
    <t>Interview preparation</t>
  </si>
  <si>
    <t>Act as an interviewer for a junior data analyst position. Ask me five questions about my Excel and ChatGPT sales analysis project, one at a time. Then suggest improvements to my answers.</t>
  </si>
  <si>
    <t>Explain what you personally built and verified.</t>
  </si>
  <si>
    <t>Calculate Total Sales Revenue using SUM</t>
  </si>
  <si>
    <t>Total Sales Revenue</t>
  </si>
  <si>
    <t>Calculate Total Orders using COUNTA.</t>
  </si>
  <si>
    <r>
      <t xml:space="preserve"> </t>
    </r>
    <r>
      <rPr>
        <sz val="10"/>
        <rFont val="Arial Unicode MS"/>
      </rPr>
      <t>Total Orders</t>
    </r>
  </si>
  <si>
    <t>Calculate Total Units Sold using SUM</t>
  </si>
  <si>
    <t>Total Units Sold</t>
  </si>
  <si>
    <t>Calculate Average Sales Revenue using AVERAGE</t>
  </si>
  <si>
    <r>
      <t>Average Sales Revenue</t>
    </r>
    <r>
      <rPr>
        <sz val="11"/>
        <rFont val="Carlito"/>
      </rPr>
      <t>.</t>
    </r>
  </si>
  <si>
    <t>Find the Highest Sales Revenue using MAX.</t>
  </si>
  <si>
    <t>Highest Order Revenue</t>
  </si>
  <si>
    <t>Find the Lowest Sales Revenue using MIN</t>
  </si>
  <si>
    <t>Lowest Revenue</t>
  </si>
  <si>
    <t>Calculate London's Total Sales using SUMIF</t>
  </si>
  <si>
    <t>London Total Sales</t>
  </si>
  <si>
    <t>Count London Orders using COUNTIF</t>
  </si>
  <si>
    <r>
      <t>Total London Orders</t>
    </r>
    <r>
      <rPr>
        <sz val="11"/>
        <rFont val="Carlito"/>
      </rPr>
      <t>.</t>
    </r>
  </si>
  <si>
    <t>Calculate Average London Sales using AVERAGEIF</t>
  </si>
  <si>
    <t>Average London Sales</t>
  </si>
  <si>
    <t>Calculate Total Laptop Sales using SUMIF</t>
  </si>
  <si>
    <t>Total Laptop Revenue</t>
  </si>
  <si>
    <t>Count Total Laptop Orders using COUNTIF</t>
  </si>
  <si>
    <t>Total Laptop Orders</t>
  </si>
  <si>
    <t>Calculate Total Laptop Units Sold</t>
  </si>
  <si>
    <r>
      <t>Total Laptop Units Sold</t>
    </r>
    <r>
      <rPr>
        <sz val="11"/>
        <rFont val="Carlito"/>
      </rPr>
      <t>.</t>
    </r>
  </si>
  <si>
    <t>Create the table headings</t>
  </si>
  <si>
    <t>Total Revenue (£)</t>
  </si>
  <si>
    <t>Total Orders</t>
  </si>
  <si>
    <t>Units Sold</t>
  </si>
  <si>
    <t>How much revenue did we earn from Laptop sales in London?</t>
  </si>
  <si>
    <t>London Laptop Revenue</t>
  </si>
  <si>
    <t>XLOOKUP</t>
  </si>
  <si>
    <t>Enter Order ID</t>
  </si>
  <si>
    <t>Find the Product Name using XLOOKUP</t>
  </si>
  <si>
    <t>Product Name</t>
  </si>
  <si>
    <t>Find the City using XLOOKUP</t>
  </si>
  <si>
    <t>City name</t>
  </si>
  <si>
    <t>Find Units Sold using XLOOKUP.</t>
  </si>
  <si>
    <t>Unit Sold</t>
  </si>
  <si>
    <t>Learn SUMIFS in Excel</t>
  </si>
  <si>
    <t>Function</t>
  </si>
  <si>
    <t>Example question</t>
  </si>
  <si>
    <t>SUMIF</t>
  </si>
  <si>
    <t>What is total Laptop revenue?</t>
  </si>
  <si>
    <t>COUNTIF</t>
  </si>
  <si>
    <t>How many Laptop orders are there?</t>
  </si>
  <si>
    <t>SUMIFS</t>
  </si>
  <si>
    <t>What is total Laptop revenue in London?</t>
  </si>
  <si>
    <t>COUNTIFS</t>
  </si>
  <si>
    <t>How many Laptop orders are from London?</t>
  </si>
  <si>
    <t>Practise SUMIFS with Three Conditions</t>
  </si>
  <si>
    <t>London Laptop Revenue in June</t>
  </si>
  <si>
    <t>Laptop revenue in Bristol during June.</t>
  </si>
  <si>
    <t>Learn the IF Function</t>
  </si>
  <si>
    <t>Sales Performance</t>
  </si>
  <si>
    <t>Count High Sales using COUNTIF</t>
  </si>
  <si>
    <t>Count Low Sales Orders using COUNTIF</t>
  </si>
  <si>
    <t>Create a Sales Performance Chart</t>
  </si>
  <si>
    <t>Create your first Pivot Table</t>
  </si>
  <si>
    <t>Row Labels</t>
  </si>
  <si>
    <t>Grand Total</t>
  </si>
  <si>
    <t>Sum of Revenue (£)</t>
  </si>
  <si>
    <t>Format Pivot Chart Data Labels as £</t>
  </si>
  <si>
    <t>Sum of Units</t>
  </si>
  <si>
    <t>Bristol Total</t>
  </si>
  <si>
    <t>London Total</t>
  </si>
  <si>
    <t>Oxford Total</t>
  </si>
  <si>
    <t>Reading Total</t>
  </si>
  <si>
    <t>Total Revenue</t>
  </si>
  <si>
    <t>Connect your Dashboard KPI to cell A4</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</si>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</sst>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 mmm\ yyyy"/>
    <numFmt numFmtId="165" formatCode="\£#,##0.00"/>
    <numFmt numFmtId="166" formatCode="mmm\ yyyy"/>
    <numFmt numFmtId="173" formatCode="[$£-809]#,##0.00"/>
  </numFmts>
  <fonts count="5">
    <font>
      <sz val="11"/>
      <name val="Carlito"/>
    </font>
    <font>
      <b/>
      <sz val="11"/>
      <color rgb="FFFFFFFF"/>
      <name val="Carlito"/>
    </font>
    <font>
      <sz val="10"/>
      <name val="Arial Unicode MS"/>
    </font>
    <font>
      <b/>
      <sz val="11"/>
      <name val="Carlito"/>
    </font>
    <font>
      <b/>
      <sz val="18"/>
      <name val="Carlito"/>
    </font>
  </fonts>
  <fills count="5">
    <fill>
      <patternFill patternType="none"/>
    </fill>
    <fill>
      <patternFill patternType="gray125"/>
    </fill>
    <fill>
      <patternFill patternType="solid">
        <fgColor rgb="FF17365D"/>
      </patternFill>
    </fill>
    <fill>
      <patternFill patternType="solid">
        <fgColor rgb="FFFFFF0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6">
    <xf numFmtId="0" fontId="0" fillId="0" borderId="0" xfId="0"/>
    <xf numFmtId="165" fontId="0" fillId="0" borderId="0" xfId="0" applyNumberFormat="1"/>
    <xf numFmtId="0" fontId="1" fillId="2" borderId="0" xfId="0" applyFont="1" applyFill="1"/>
    <xf numFmtId="166" fontId="0" fillId="0" borderId="0" xfId="0" applyNumberFormat="1"/>
    <xf numFmtId="0" fontId="0" fillId="0" borderId="0" xfId="0" applyAlignment="1">
      <alignment wrapText="1"/>
    </xf>
    <xf numFmtId="0" fontId="0" fillId="0" borderId="0" xfId="0" applyAlignment="1">
      <alignment horizontal="center"/>
    </xf>
    <xf numFmtId="0" fontId="1" fillId="2" borderId="1" xfId="0" applyFont="1" applyFill="1" applyBorder="1"/>
    <xf numFmtId="0" fontId="0" fillId="0" borderId="1" xfId="0" applyBorder="1"/>
    <xf numFmtId="164" fontId="0" fillId="0" borderId="1" xfId="0" applyNumberFormat="1" applyBorder="1"/>
    <xf numFmtId="165" fontId="0" fillId="0" borderId="1" xfId="0" applyNumberFormat="1" applyBorder="1"/>
    <xf numFmtId="0" fontId="0" fillId="3" borderId="0" xfId="0" applyFill="1" applyAlignment="1">
      <alignment horizontal="center"/>
    </xf>
    <xf numFmtId="0" fontId="2" fillId="0" borderId="0" xfId="0" applyFont="1"/>
    <xf numFmtId="0" fontId="3" fillId="0" borderId="0" xfId="0" applyFont="1" applyAlignment="1">
      <alignment horizontal="center" vertical="center" wrapText="1"/>
    </xf>
    <xf numFmtId="0" fontId="0" fillId="0" borderId="0" xfId="0"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0" xfId="0" applyFill="1"/>
    <xf numFmtId="0" fontId="0" fillId="3" borderId="1" xfId="0" applyFill="1" applyBorder="1" applyAlignment="1">
      <alignment horizontal="center"/>
    </xf>
    <xf numFmtId="0" fontId="1" fillId="2" borderId="2" xfId="0" applyFont="1" applyFill="1" applyBorder="1"/>
    <xf numFmtId="0" fontId="0" fillId="0" borderId="0" xfId="0" pivotButton="1"/>
    <xf numFmtId="0" fontId="0" fillId="0" borderId="0" xfId="0" applyAlignment="1">
      <alignment horizontal="left"/>
    </xf>
    <xf numFmtId="0" fontId="0" fillId="0" borderId="0" xfId="0" applyNumberFormat="1"/>
    <xf numFmtId="0" fontId="4" fillId="0" borderId="0" xfId="0" applyFont="1"/>
    <xf numFmtId="0" fontId="0" fillId="4" borderId="1" xfId="0" applyFill="1" applyBorder="1"/>
    <xf numFmtId="173" fontId="4" fillId="4" borderId="1" xfId="0" applyNumberFormat="1" applyFont="1" applyFill="1" applyBorder="1"/>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[retail_sales_project.xlsx]Revenue by Product!PivotTable3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Retail Sales Revenue by Product — 2026</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Product'!$B$3</c:f>
              <c:strCache>
                <c:ptCount val="1"/>
                <c:pt idx="0">
                  <c:v>Total</c:v>
                </c:pt>
              </c:strCache>
            </c:strRef>
          </c:tx>
          <c:spPr>
            <a:solidFill>
              <a:schemeClr val="accent1"/>
            </a:solidFill>
            <a:ln>
              <a:noFill/>
            </a:ln>
            <a:effectLst/>
          </c:spPr>
          <c:invertIfNegative val="0"/>
          <c:cat>
            <c:strRef>
              <c:f>'Revenue by Product'!$A$4:$A$5</c:f>
              <c:strCache>
                <c:ptCount val="1"/>
                <c:pt idx="0">
                  <c:v>Laptop</c:v>
                </c:pt>
              </c:strCache>
            </c:strRef>
          </c:cat>
          <c:val>
            <c:numRef>
              <c:f>'Revenue by Product'!$B$4:$B$5</c:f>
              <c:numCache>
                <c:formatCode>\£#,##0.00</c:formatCode>
                <c:ptCount val="1"/>
                <c:pt idx="0">
                  <c:v>35700</c:v>
                </c:pt>
              </c:numCache>
            </c:numRef>
          </c:val>
          <c:extLst>
            <c:ext xmlns:c16="http://schemas.microsoft.com/office/drawing/2014/chart" uri="{C3380CC4-5D6E-409C-BE32-E72D297353CC}">
              <c16:uniqueId val="{00000000-A991-4F6D-8D27-D9471FC3038D}"/>
            </c:ext>
          </c:extLst>
        </c:ser>
        <c:dLbls>
          <c:showLegendKey val="0"/>
          <c:showVal val="0"/>
          <c:showCatName val="0"/>
          <c:showSerName val="0"/>
          <c:showPercent val="0"/>
          <c:showBubbleSize val="0"/>
        </c:dLbls>
        <c:gapWidth val="219"/>
        <c:overlap val="-27"/>
        <c:axId val="624888560"/>
        <c:axId val="624884720"/>
      </c:barChart>
      <c:catAx>
        <c:axId val="62488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84720"/>
        <c:crosses val="autoZero"/>
        <c:auto val="1"/>
        <c:lblAlgn val="ctr"/>
        <c:lblOffset val="100"/>
        <c:noMultiLvlLbl val="0"/>
      </c:catAx>
      <c:valAx>
        <c:axId val="624884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88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[retail_sales_project.xlsx]City Revenue 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Retail Sales Revenue by City — 2026</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Revenue 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'City Revenue Pivot Table'!$A$4:$A$8</c:f>
              <c:strCache>
                <c:ptCount val="4"/>
                <c:pt idx="0">
                  <c:v>Bristol</c:v>
                </c:pt>
                <c:pt idx="1">
                  <c:v>London</c:v>
                </c:pt>
                <c:pt idx="2">
                  <c:v>Oxford</c:v>
                </c:pt>
                <c:pt idx="3">
                  <c:v>Reading</c:v>
                </c:pt>
              </c:strCache>
            </c:strRef>
          </c:cat>
          <c:val>
            <c:numRef>
              <c:f>'City Revenue Pivot Table'!$B$4:$B$8</c:f>
              <c:numCache>
                <c:formatCode>\£#,##0.00</c:formatCode>
                <c:ptCount val="4"/>
                <c:pt idx="0">
                  <c:v>10200</c:v>
                </c:pt>
                <c:pt idx="1">
                  <c:v>10200</c:v>
                </c:pt>
                <c:pt idx="2">
                  <c:v>3400</c:v>
                </c:pt>
                <c:pt idx="3">
                  <c:v>11900</c:v>
                </c:pt>
              </c:numCache>
            </c:numRef>
          </c:val>
          <c:extLst>
            <c:ext xmlns:c16="http://schemas.microsoft.com/office/drawing/2014/chart" uri="{C3380CC4-5D6E-409C-BE32-E72D297353CC}">
              <c16:uniqueId val="{00000000-CD27-481F-A684-BB4ED647FA0F}"/>
            </c:ext>
          </c:extLst>
        </c:ser>
        <c:dLbls>
          <c:dLblPos val="outEnd"/>
          <c:showLegendKey val="0"/>
          <c:showVal val="1"/>
          <c:showCatName val="0"/>
          <c:showSerName val="0"/>
          <c:showPercent val="0"/>
          <c:showBubbleSize val="0"/>
        </c:dLbls>
        <c:gapWidth val="219"/>
        <c:overlap val="-27"/>
        <c:axId val="624482912"/>
        <c:axId val="624484352"/>
      </c:barChart>
      <c:catAx>
        <c:axId val="6244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84352"/>
        <c:crosses val="autoZero"/>
        <c:auto val="1"/>
        <c:lblAlgn val="ctr"/>
        <c:lblOffset val="100"/>
        <c:noMultiLvlLbl val="0"/>
      </c:catAx>
      <c:valAx>
        <c:axId val="624484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8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retail_sales_project!$C$61</c:f>
              <c:strCache>
                <c:ptCount val="1"/>
                <c:pt idx="0">
                  <c:v>Total Revenue (£)</c:v>
                </c:pt>
              </c:strCache>
            </c:strRef>
          </c:tx>
          <c:spPr>
            <a:solidFill>
              <a:schemeClr val="accent1"/>
            </a:solidFill>
            <a:ln>
              <a:noFill/>
            </a:ln>
            <a:effectLst/>
          </c:spPr>
          <c:invertIfNegative val="0"/>
          <c:cat>
            <c:strRef>
              <c:f>retail_sales_project!$B$62:$B$66</c:f>
              <c:strCache>
                <c:ptCount val="5"/>
                <c:pt idx="0">
                  <c:v>Laptop</c:v>
                </c:pt>
                <c:pt idx="1">
                  <c:v>Mouse</c:v>
                </c:pt>
                <c:pt idx="2">
                  <c:v>Keyboard</c:v>
                </c:pt>
                <c:pt idx="3">
                  <c:v>Monitor</c:v>
                </c:pt>
                <c:pt idx="4">
                  <c:v>Headphones</c:v>
                </c:pt>
              </c:strCache>
            </c:strRef>
          </c:cat>
          <c:val>
            <c:numRef>
              <c:f>retail_sales_project!$C$62:$C$66</c:f>
              <c:numCache>
                <c:formatCode>General</c:formatCode>
                <c:ptCount val="5"/>
                <c:pt idx="0">
                  <c:v>35700</c:v>
                </c:pt>
                <c:pt idx="1">
                  <c:v>950</c:v>
                </c:pt>
                <c:pt idx="2">
                  <c:v>1840</c:v>
                </c:pt>
                <c:pt idx="3">
                  <c:v>9680</c:v>
                </c:pt>
                <c:pt idx="4">
                  <c:v>2600</c:v>
                </c:pt>
              </c:numCache>
            </c:numRef>
          </c:val>
          <c:extLst>
            <c:ext xmlns:c16="http://schemas.microsoft.com/office/drawing/2014/chart" uri="{C3380CC4-5D6E-409C-BE32-E72D297353CC}">
              <c16:uniqueId val="{00000000-7A02-4BC7-ADA1-1C461EBB0B40}"/>
            </c:ext>
          </c:extLst>
        </c:ser>
        <c:ser>
          <c:idx val="1"/>
          <c:order val="1"/>
          <c:tx>
            <c:strRef>
              <c:f>retail_sales_project!$D$61</c:f>
              <c:strCache>
                <c:ptCount val="1"/>
                <c:pt idx="0">
                  <c:v>Total Orders</c:v>
                </c:pt>
              </c:strCache>
            </c:strRef>
          </c:tx>
          <c:spPr>
            <a:solidFill>
              <a:schemeClr val="accent2"/>
            </a:solidFill>
            <a:ln>
              <a:noFill/>
            </a:ln>
            <a:effectLst/>
          </c:spPr>
          <c:invertIfNegative val="0"/>
          <c:cat>
            <c:strRef>
              <c:f>retail_sales_project!$B$62:$B$66</c:f>
              <c:strCache>
                <c:ptCount val="5"/>
                <c:pt idx="0">
                  <c:v>Laptop</c:v>
                </c:pt>
                <c:pt idx="1">
                  <c:v>Mouse</c:v>
                </c:pt>
                <c:pt idx="2">
                  <c:v>Keyboard</c:v>
                </c:pt>
                <c:pt idx="3">
                  <c:v>Monitor</c:v>
                </c:pt>
                <c:pt idx="4">
                  <c:v>Headphones</c:v>
                </c:pt>
              </c:strCache>
            </c:strRef>
          </c:cat>
          <c:val>
            <c:numRef>
              <c:f>retail_sales_project!$D$62:$D$66</c:f>
              <c:numCache>
                <c:formatCode>General</c:formatCode>
                <c:ptCount val="5"/>
                <c:pt idx="0">
                  <c:v>12</c:v>
                </c:pt>
                <c:pt idx="1">
                  <c:v>12</c:v>
                </c:pt>
                <c:pt idx="2">
                  <c:v>12</c:v>
                </c:pt>
                <c:pt idx="3">
                  <c:v>12</c:v>
                </c:pt>
                <c:pt idx="4">
                  <c:v>12</c:v>
                </c:pt>
              </c:numCache>
            </c:numRef>
          </c:val>
          <c:extLst>
            <c:ext xmlns:c16="http://schemas.microsoft.com/office/drawing/2014/chart" uri="{C3380CC4-5D6E-409C-BE32-E72D297353CC}">
              <c16:uniqueId val="{00000001-7A02-4BC7-ADA1-1C461EBB0B40}"/>
            </c:ext>
          </c:extLst>
        </c:ser>
        <c:ser>
          <c:idx val="2"/>
          <c:order val="2"/>
          <c:tx>
            <c:strRef>
              <c:f>retail_sales_project!$E$61</c:f>
              <c:strCache>
                <c:ptCount val="1"/>
                <c:pt idx="0">
                  <c:v>Units Sold</c:v>
                </c:pt>
              </c:strCache>
            </c:strRef>
          </c:tx>
          <c:spPr>
            <a:solidFill>
              <a:schemeClr val="accent3"/>
            </a:solidFill>
            <a:ln>
              <a:noFill/>
            </a:ln>
            <a:effectLst/>
          </c:spPr>
          <c:invertIfNegative val="0"/>
          <c:cat>
            <c:strRef>
              <c:f>retail_sales_project!$B$62:$B$66</c:f>
              <c:strCache>
                <c:ptCount val="5"/>
                <c:pt idx="0">
                  <c:v>Laptop</c:v>
                </c:pt>
                <c:pt idx="1">
                  <c:v>Mouse</c:v>
                </c:pt>
                <c:pt idx="2">
                  <c:v>Keyboard</c:v>
                </c:pt>
                <c:pt idx="3">
                  <c:v>Monitor</c:v>
                </c:pt>
                <c:pt idx="4">
                  <c:v>Headphones</c:v>
                </c:pt>
              </c:strCache>
            </c:strRef>
          </c:cat>
          <c:val>
            <c:numRef>
              <c:f>retail_sales_project!$E$62:$E$66</c:f>
              <c:numCache>
                <c:formatCode>General</c:formatCode>
                <c:ptCount val="5"/>
                <c:pt idx="0">
                  <c:v>42</c:v>
                </c:pt>
                <c:pt idx="1">
                  <c:v>45</c:v>
                </c:pt>
                <c:pt idx="2">
                  <c:v>42</c:v>
                </c:pt>
                <c:pt idx="3">
                  <c:v>38</c:v>
                </c:pt>
                <c:pt idx="4">
                  <c:v>39</c:v>
                </c:pt>
              </c:numCache>
            </c:numRef>
          </c:val>
          <c:extLst>
            <c:ext xmlns:c16="http://schemas.microsoft.com/office/drawing/2014/chart" uri="{C3380CC4-5D6E-409C-BE32-E72D297353CC}">
              <c16:uniqueId val="{00000002-7A02-4BC7-ADA1-1C461EBB0B40}"/>
            </c:ext>
          </c:extLst>
        </c:ser>
        <c:dLbls>
          <c:showLegendKey val="0"/>
          <c:showVal val="0"/>
          <c:showCatName val="0"/>
          <c:showSerName val="0"/>
          <c:showPercent val="0"/>
          <c:showBubbleSize val="0"/>
        </c:dLbls>
        <c:gapWidth val="219"/>
        <c:overlap val="-27"/>
        <c:axId val="624481472"/>
        <c:axId val="624479552"/>
      </c:barChart>
      <c:catAx>
        <c:axId val="62448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79552"/>
        <c:crosses val="autoZero"/>
        <c:auto val="1"/>
        <c:lblAlgn val="ctr"/>
        <c:lblOffset val="100"/>
        <c:noMultiLvlLbl val="0"/>
      </c:catAx>
      <c:valAx>
        <c:axId val="62447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81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Monthly revenue</c:v>
          </c:tx>
          <c:invertIfNegative val="1"/>
          <c:cat>
            <c:numRef>
              <c:f>Analysis!$A$10:$A$15</c:f>
              <c:numCache>
                <c:formatCode>mmm\ yyyy</c:formatCode>
                <c:ptCount val="6"/>
                <c:pt idx="0">
                  <c:v>46023</c:v>
                </c:pt>
                <c:pt idx="1">
                  <c:v>46054</c:v>
                </c:pt>
                <c:pt idx="2">
                  <c:v>46082</c:v>
                </c:pt>
                <c:pt idx="3">
                  <c:v>46113</c:v>
                </c:pt>
                <c:pt idx="4">
                  <c:v>46143</c:v>
                </c:pt>
                <c:pt idx="5">
                  <c:v>46174</c:v>
                </c:pt>
              </c:numCache>
            </c:numRef>
          </c:cat>
          <c:val>
            <c:numRef>
              <c:f>Analysis!$B$10:$B$15</c:f>
              <c:numCache>
                <c:formatCode>\£#,##0.00</c:formatCode>
                <c:ptCount val="6"/>
                <c:pt idx="0">
                  <c:v>10930</c:v>
                </c:pt>
                <c:pt idx="1">
                  <c:v>4770</c:v>
                </c:pt>
                <c:pt idx="2">
                  <c:v>8660</c:v>
                </c:pt>
                <c:pt idx="3">
                  <c:v>7550</c:v>
                </c:pt>
                <c:pt idx="4">
                  <c:v>7240</c:v>
                </c:pt>
                <c:pt idx="5">
                  <c:v>11620</c:v>
                </c:pt>
              </c:numCache>
            </c:numRef>
          </c:val>
          <c:extLst>
            <c:ext xmlns:c16="http://schemas.microsoft.com/office/drawing/2014/chart" uri="{C3380CC4-5D6E-409C-BE32-E72D297353CC}">
              <c16:uniqueId val="{00000000-C9D9-4AA2-9EE6-26902E54C68D}"/>
            </c:ext>
          </c:extLst>
        </c:ser>
        <c:dLbls>
          <c:showLegendKey val="0"/>
          <c:showVal val="0"/>
          <c:showCatName val="0"/>
          <c:showSerName val="0"/>
          <c:showPercent val="0"/>
          <c:showBubbleSize val="0"/>
        </c:dLbls>
        <c:gapWidth val="150"/>
        <c:axId val="48650112"/>
        <c:axId val="48672768"/>
      </c:barChart>
      <c:dateAx>
        <c:axId val="48650112"/>
        <c:scaling>
          <c:orientation val="minMax"/>
        </c:scaling>
        <c:delete val="0"/>
        <c:axPos val="b"/>
        <c:majorGridlines>
          <c:spPr>
            <a:ln w="9525">
              <a:solidFill>
                <a:srgbClr val="CCCCCC"/>
              </a:solidFill>
              <a:prstDash val="dash"/>
            </a:ln>
          </c:spPr>
        </c:majorGridlines>
        <c:numFmt formatCode="mmm\ yyyy" sourceLinked="1"/>
        <c:majorTickMark val="none"/>
        <c:minorTickMark val="none"/>
        <c:tickLblPos val="nextTo"/>
        <c:crossAx val="48672768"/>
        <c:crosses val="autoZero"/>
        <c:auto val="1"/>
        <c:lblOffset val="100"/>
        <c:baseTimeUnit val="months"/>
      </c:date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49530</xdr:colOff>
      <xdr:row>12</xdr:row>
      <xdr:rowOff>121920</xdr:rowOff>
    </xdr:from>
    <xdr:to>
      <xdr:col>6</xdr:col>
      <xdr:colOff>598170</xdr:colOff>
      <xdr:row>28</xdr:row>
      <xdr:rowOff>60960</xdr:rowOff>
    </xdr:to>
    <xdr:graphicFrame macro="">
      <xdr:nvGraphicFramePr>
        <xdr:cNvPr id="2" name="Chart 1">
          <a:extLst>
            <a:ext uri="{FF2B5EF4-FFF2-40B4-BE49-F238E27FC236}">
              <a16:creationId xmlns:a16="http://schemas.microsoft.com/office/drawing/2014/main" id="{115ED96B-E0E0-A0D4-782D-53F1752CA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12</xdr:row>
      <xdr:rowOff>137160</xdr:rowOff>
    </xdr:from>
    <xdr:to>
      <xdr:col>15</xdr:col>
      <xdr:colOff>613410</xdr:colOff>
      <xdr:row>28</xdr:row>
      <xdr:rowOff>76200</xdr:rowOff>
    </xdr:to>
    <xdr:graphicFrame macro="">
      <xdr:nvGraphicFramePr>
        <xdr:cNvPr id="4" name="Chart 1">
          <a:extLst>
            <a:ext uri="{FF2B5EF4-FFF2-40B4-BE49-F238E27FC236}">
              <a16:creationId xmlns:a16="http://schemas.microsoft.com/office/drawing/2014/main" id="{E09DE984-8A45-4A90-AD4E-83B7BB345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647700</xdr:colOff>
      <xdr:row>13</xdr:row>
      <xdr:rowOff>15240</xdr:rowOff>
    </xdr:from>
    <xdr:to>
      <xdr:col>19</xdr:col>
      <xdr:colOff>464820</xdr:colOff>
      <xdr:row>27</xdr:row>
      <xdr:rowOff>28575</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BF080760-1039-440A-B97D-F48249ECC7C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329160" y="2407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544830</xdr:colOff>
      <xdr:row>51</xdr:row>
      <xdr:rowOff>121920</xdr:rowOff>
    </xdr:from>
    <xdr:to>
      <xdr:col>12</xdr:col>
      <xdr:colOff>422910</xdr:colOff>
      <xdr:row>66</xdr:row>
      <xdr:rowOff>91440</xdr:rowOff>
    </xdr:to>
    <xdr:graphicFrame macro="">
      <xdr:nvGraphicFramePr>
        <xdr:cNvPr id="2" name="Chart 1">
          <a:extLst>
            <a:ext uri="{FF2B5EF4-FFF2-40B4-BE49-F238E27FC236}">
              <a16:creationId xmlns:a16="http://schemas.microsoft.com/office/drawing/2014/main" id="{19AD6813-DEC2-E3AE-E8C9-37BB0EB81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8</xdr:row>
      <xdr:rowOff>0</xdr:rowOff>
    </xdr:from>
    <xdr:to>
      <xdr:col>12</xdr:col>
      <xdr:colOff>0</xdr:colOff>
      <xdr:row>24</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devi Kamble" refreshedDate="46311.854867245369" createdVersion="8" refreshedVersion="8" minRefreshableVersion="3" recordCount="60" xr:uid="{CB12F1C7-E532-456A-9BC3-BFB2A782D4FB}">
  <cacheSource type="worksheet">
    <worksheetSource ref="A1:I61" sheet="Sales Data"/>
  </cacheSource>
  <cacheFields count="9">
    <cacheField name="Order ID" numFmtId="0">
      <sharedItems count="60">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haredItems>
    </cacheField>
    <cacheField name="Date" numFmtId="164">
      <sharedItems containsSemiMixedTypes="0" containsNonDate="0" containsDate="1" containsString="0" minDate="2026-01-03T00:00:00" maxDate="2026-06-27T00:00:00" count="60">
        <d v="2026-01-03T00:00:00"/>
        <d v="2026-01-05T00:00:00"/>
        <d v="2026-01-07T00:00:00"/>
        <d v="2026-01-09T00:00:00"/>
        <d v="2026-01-11T00:00:00"/>
        <d v="2026-01-13T00:00:00"/>
        <d v="2026-01-15T00:00:00"/>
        <d v="2026-01-17T00:00:00"/>
        <d v="2026-01-19T00:00:00"/>
        <d v="2026-01-21T00:00:00"/>
        <d v="2026-02-23T00:00:00"/>
        <d v="2026-02-25T00:00:00"/>
        <d v="2026-02-27T00:00:00"/>
        <d v="2026-02-02T00:00:00"/>
        <d v="2026-02-04T00:00:00"/>
        <d v="2026-02-06T00:00:00"/>
        <d v="2026-02-08T00:00:00"/>
        <d v="2026-02-10T00:00:00"/>
        <d v="2026-02-12T00:00:00"/>
        <d v="2026-02-14T00:00:00"/>
        <d v="2026-03-16T00:00:00"/>
        <d v="2026-03-18T00:00:00"/>
        <d v="2026-03-20T00:00:00"/>
        <d v="2026-03-22T00:00:00"/>
        <d v="2026-03-24T00:00:00"/>
        <d v="2026-03-26T00:00:00"/>
        <d v="2026-03-01T00:00:00"/>
        <d v="2026-03-03T00:00:00"/>
        <d v="2026-03-05T00:00:00"/>
        <d v="2026-03-07T00:00:00"/>
        <d v="2026-04-09T00:00:00"/>
        <d v="2026-04-11T00:00:00"/>
        <d v="2026-04-13T00:00:00"/>
        <d v="2026-04-15T00:00:00"/>
        <d v="2026-04-17T00:00:00"/>
        <d v="2026-04-19T00:00:00"/>
        <d v="2026-04-21T00:00:00"/>
        <d v="2026-04-23T00:00:00"/>
        <d v="2026-04-25T00:00:00"/>
        <d v="2026-04-27T00:00:00"/>
        <d v="2026-05-02T00:00:00"/>
        <d v="2026-05-04T00:00:00"/>
        <d v="2026-05-06T00:00:00"/>
        <d v="2026-05-08T00:00:00"/>
        <d v="2026-05-10T00:00:00"/>
        <d v="2026-05-12T00:00:00"/>
        <d v="2026-05-14T00:00:00"/>
        <d v="2026-05-16T00:00:00"/>
        <d v="2026-05-18T00:00:00"/>
        <d v="2026-05-20T00:00:00"/>
        <d v="2026-06-22T00:00:00"/>
        <d v="2026-06-24T00:00:00"/>
        <d v="2026-06-26T00:00:00"/>
        <d v="2026-06-01T00:00:00"/>
        <d v="2026-06-03T00:00:00"/>
        <d v="2026-06-05T00:00:00"/>
        <d v="2026-06-07T00:00:00"/>
        <d v="2026-06-09T00:00:00"/>
        <d v="2026-06-11T00:00:00"/>
        <d v="2026-06-13T00:00:00"/>
      </sharedItems>
    </cacheField>
    <cacheField name="Month" numFmtId="164">
      <sharedItems containsSemiMixedTypes="0" containsNonDate="0" containsDate="1" containsString="0" minDate="2026-01-01T00:00:00" maxDate="2026-06-02T00:00:00" count="6">
        <d v="2026-01-01T00:00:00"/>
        <d v="2026-02-01T00:00:00"/>
        <d v="2026-03-01T00:00:00"/>
        <d v="2026-04-01T00:00:00"/>
        <d v="2026-05-01T00:00:00"/>
        <d v="2026-06-01T00:00:00"/>
      </sharedItems>
    </cacheField>
    <cacheField name="City" numFmtId="0">
      <sharedItems count="4">
        <s v="Oxford"/>
        <s v="Bristol"/>
        <s v="Reading"/>
        <s v="London"/>
      </sharedItems>
    </cacheField>
    <cacheField name="Product" numFmtId="0">
      <sharedItems count="5">
        <s v="Mouse"/>
        <s v="Keyboard"/>
        <s v="Laptop"/>
        <s v="Monitor"/>
        <s v="Headphones"/>
      </sharedItems>
    </cacheField>
    <cacheField name="Units" numFmtId="0">
      <sharedItems containsSemiMixedTypes="0" containsString="0" containsNumber="1" containsInteger="1" minValue="1" maxValue="6" count="6">
        <n v="3"/>
        <n v="4"/>
        <n v="5"/>
        <n v="6"/>
        <n v="1"/>
        <n v="2"/>
      </sharedItems>
    </cacheField>
    <cacheField name="Unit Price (£)" numFmtId="165">
      <sharedItems containsSemiMixedTypes="0" containsString="0" containsNumber="1" containsInteger="1" minValue="25" maxValue="850" count="5">
        <n v="25"/>
        <n v="40"/>
        <n v="850"/>
        <n v="220"/>
        <n v="65"/>
      </sharedItems>
    </cacheField>
    <cacheField name="Revenue (£)" numFmtId="165">
      <sharedItems containsSemiMixedTypes="0" containsString="0" containsNumber="1" containsInteger="1" minValue="25" maxValue="5100" count="30">
        <n v="75"/>
        <n v="160"/>
        <n v="4250"/>
        <n v="1320"/>
        <n v="65"/>
        <n v="50"/>
        <n v="120"/>
        <n v="3400"/>
        <n v="1100"/>
        <n v="390"/>
        <n v="1700"/>
        <n v="660"/>
        <n v="260"/>
        <n v="125"/>
        <n v="240"/>
        <n v="850"/>
        <n v="440"/>
        <n v="195"/>
        <n v="100"/>
        <n v="200"/>
        <n v="25"/>
        <n v="80"/>
        <n v="2550"/>
        <n v="880"/>
        <n v="5100"/>
        <n v="220"/>
        <n v="130"/>
        <n v="325"/>
        <n v="150"/>
        <n v="40"/>
      </sharedItems>
    </cacheField>
    <cacheField name="Sales Performance" numFmtId="0">
      <sharedItems count="2">
        <s v="Low Sales"/>
        <s v="High Sales"/>
      </sharedItems>
    </cacheField>
  </cacheFields>
  <extLst>
    <ext xmlns:x14="http://schemas.microsoft.com/office/spreadsheetml/2009/9/main" uri="{725AE2AE-9491-48be-B2B4-4EB974FC3084}">
      <x14:pivotCacheDefinition pivotCacheId="2144296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x v="0"/>
    <x v="0"/>
    <x v="0"/>
    <x v="0"/>
    <x v="0"/>
  </r>
  <r>
    <x v="1"/>
    <x v="1"/>
    <x v="0"/>
    <x v="1"/>
    <x v="1"/>
    <x v="1"/>
    <x v="1"/>
    <x v="1"/>
    <x v="0"/>
  </r>
  <r>
    <x v="2"/>
    <x v="2"/>
    <x v="0"/>
    <x v="2"/>
    <x v="2"/>
    <x v="2"/>
    <x v="2"/>
    <x v="2"/>
    <x v="1"/>
  </r>
  <r>
    <x v="3"/>
    <x v="3"/>
    <x v="0"/>
    <x v="3"/>
    <x v="3"/>
    <x v="3"/>
    <x v="3"/>
    <x v="3"/>
    <x v="1"/>
  </r>
  <r>
    <x v="4"/>
    <x v="4"/>
    <x v="0"/>
    <x v="0"/>
    <x v="4"/>
    <x v="4"/>
    <x v="4"/>
    <x v="4"/>
    <x v="0"/>
  </r>
  <r>
    <x v="5"/>
    <x v="5"/>
    <x v="0"/>
    <x v="1"/>
    <x v="0"/>
    <x v="5"/>
    <x v="0"/>
    <x v="5"/>
    <x v="0"/>
  </r>
  <r>
    <x v="6"/>
    <x v="6"/>
    <x v="0"/>
    <x v="2"/>
    <x v="1"/>
    <x v="0"/>
    <x v="1"/>
    <x v="6"/>
    <x v="0"/>
  </r>
  <r>
    <x v="7"/>
    <x v="7"/>
    <x v="0"/>
    <x v="3"/>
    <x v="2"/>
    <x v="1"/>
    <x v="2"/>
    <x v="7"/>
    <x v="1"/>
  </r>
  <r>
    <x v="8"/>
    <x v="8"/>
    <x v="0"/>
    <x v="0"/>
    <x v="3"/>
    <x v="2"/>
    <x v="3"/>
    <x v="8"/>
    <x v="1"/>
  </r>
  <r>
    <x v="9"/>
    <x v="9"/>
    <x v="0"/>
    <x v="1"/>
    <x v="4"/>
    <x v="3"/>
    <x v="4"/>
    <x v="9"/>
    <x v="0"/>
  </r>
  <r>
    <x v="10"/>
    <x v="10"/>
    <x v="1"/>
    <x v="3"/>
    <x v="2"/>
    <x v="5"/>
    <x v="2"/>
    <x v="10"/>
    <x v="1"/>
  </r>
  <r>
    <x v="11"/>
    <x v="11"/>
    <x v="1"/>
    <x v="0"/>
    <x v="3"/>
    <x v="0"/>
    <x v="3"/>
    <x v="11"/>
    <x v="0"/>
  </r>
  <r>
    <x v="12"/>
    <x v="12"/>
    <x v="1"/>
    <x v="1"/>
    <x v="4"/>
    <x v="1"/>
    <x v="4"/>
    <x v="12"/>
    <x v="0"/>
  </r>
  <r>
    <x v="13"/>
    <x v="13"/>
    <x v="1"/>
    <x v="2"/>
    <x v="0"/>
    <x v="2"/>
    <x v="0"/>
    <x v="13"/>
    <x v="0"/>
  </r>
  <r>
    <x v="14"/>
    <x v="14"/>
    <x v="1"/>
    <x v="3"/>
    <x v="1"/>
    <x v="3"/>
    <x v="1"/>
    <x v="14"/>
    <x v="0"/>
  </r>
  <r>
    <x v="15"/>
    <x v="15"/>
    <x v="1"/>
    <x v="0"/>
    <x v="2"/>
    <x v="4"/>
    <x v="2"/>
    <x v="15"/>
    <x v="0"/>
  </r>
  <r>
    <x v="16"/>
    <x v="16"/>
    <x v="1"/>
    <x v="1"/>
    <x v="3"/>
    <x v="5"/>
    <x v="3"/>
    <x v="16"/>
    <x v="0"/>
  </r>
  <r>
    <x v="17"/>
    <x v="17"/>
    <x v="1"/>
    <x v="2"/>
    <x v="4"/>
    <x v="0"/>
    <x v="4"/>
    <x v="17"/>
    <x v="0"/>
  </r>
  <r>
    <x v="18"/>
    <x v="18"/>
    <x v="1"/>
    <x v="3"/>
    <x v="0"/>
    <x v="1"/>
    <x v="0"/>
    <x v="18"/>
    <x v="0"/>
  </r>
  <r>
    <x v="19"/>
    <x v="19"/>
    <x v="1"/>
    <x v="0"/>
    <x v="1"/>
    <x v="2"/>
    <x v="1"/>
    <x v="19"/>
    <x v="0"/>
  </r>
  <r>
    <x v="20"/>
    <x v="20"/>
    <x v="2"/>
    <x v="2"/>
    <x v="4"/>
    <x v="4"/>
    <x v="4"/>
    <x v="4"/>
    <x v="0"/>
  </r>
  <r>
    <x v="21"/>
    <x v="21"/>
    <x v="2"/>
    <x v="3"/>
    <x v="0"/>
    <x v="5"/>
    <x v="0"/>
    <x v="5"/>
    <x v="0"/>
  </r>
  <r>
    <x v="22"/>
    <x v="22"/>
    <x v="2"/>
    <x v="0"/>
    <x v="1"/>
    <x v="0"/>
    <x v="1"/>
    <x v="6"/>
    <x v="0"/>
  </r>
  <r>
    <x v="23"/>
    <x v="23"/>
    <x v="2"/>
    <x v="1"/>
    <x v="2"/>
    <x v="1"/>
    <x v="2"/>
    <x v="7"/>
    <x v="1"/>
  </r>
  <r>
    <x v="24"/>
    <x v="24"/>
    <x v="2"/>
    <x v="2"/>
    <x v="3"/>
    <x v="2"/>
    <x v="3"/>
    <x v="8"/>
    <x v="1"/>
  </r>
  <r>
    <x v="25"/>
    <x v="25"/>
    <x v="2"/>
    <x v="3"/>
    <x v="4"/>
    <x v="3"/>
    <x v="4"/>
    <x v="9"/>
    <x v="0"/>
  </r>
  <r>
    <x v="26"/>
    <x v="26"/>
    <x v="2"/>
    <x v="0"/>
    <x v="0"/>
    <x v="4"/>
    <x v="0"/>
    <x v="20"/>
    <x v="0"/>
  </r>
  <r>
    <x v="27"/>
    <x v="27"/>
    <x v="2"/>
    <x v="1"/>
    <x v="1"/>
    <x v="5"/>
    <x v="1"/>
    <x v="21"/>
    <x v="0"/>
  </r>
  <r>
    <x v="28"/>
    <x v="28"/>
    <x v="2"/>
    <x v="2"/>
    <x v="2"/>
    <x v="0"/>
    <x v="2"/>
    <x v="22"/>
    <x v="1"/>
  </r>
  <r>
    <x v="29"/>
    <x v="29"/>
    <x v="2"/>
    <x v="3"/>
    <x v="3"/>
    <x v="1"/>
    <x v="3"/>
    <x v="23"/>
    <x v="0"/>
  </r>
  <r>
    <x v="30"/>
    <x v="30"/>
    <x v="3"/>
    <x v="1"/>
    <x v="1"/>
    <x v="3"/>
    <x v="1"/>
    <x v="14"/>
    <x v="0"/>
  </r>
  <r>
    <x v="31"/>
    <x v="31"/>
    <x v="3"/>
    <x v="2"/>
    <x v="2"/>
    <x v="4"/>
    <x v="2"/>
    <x v="15"/>
    <x v="0"/>
  </r>
  <r>
    <x v="32"/>
    <x v="32"/>
    <x v="3"/>
    <x v="3"/>
    <x v="3"/>
    <x v="5"/>
    <x v="3"/>
    <x v="16"/>
    <x v="0"/>
  </r>
  <r>
    <x v="33"/>
    <x v="33"/>
    <x v="3"/>
    <x v="0"/>
    <x v="4"/>
    <x v="0"/>
    <x v="4"/>
    <x v="17"/>
    <x v="0"/>
  </r>
  <r>
    <x v="34"/>
    <x v="34"/>
    <x v="3"/>
    <x v="1"/>
    <x v="0"/>
    <x v="1"/>
    <x v="0"/>
    <x v="18"/>
    <x v="0"/>
  </r>
  <r>
    <x v="35"/>
    <x v="35"/>
    <x v="3"/>
    <x v="2"/>
    <x v="1"/>
    <x v="2"/>
    <x v="1"/>
    <x v="19"/>
    <x v="0"/>
  </r>
  <r>
    <x v="36"/>
    <x v="36"/>
    <x v="3"/>
    <x v="3"/>
    <x v="2"/>
    <x v="3"/>
    <x v="2"/>
    <x v="24"/>
    <x v="1"/>
  </r>
  <r>
    <x v="37"/>
    <x v="37"/>
    <x v="3"/>
    <x v="0"/>
    <x v="3"/>
    <x v="4"/>
    <x v="3"/>
    <x v="25"/>
    <x v="0"/>
  </r>
  <r>
    <x v="38"/>
    <x v="38"/>
    <x v="3"/>
    <x v="1"/>
    <x v="4"/>
    <x v="5"/>
    <x v="4"/>
    <x v="26"/>
    <x v="0"/>
  </r>
  <r>
    <x v="39"/>
    <x v="39"/>
    <x v="3"/>
    <x v="2"/>
    <x v="0"/>
    <x v="0"/>
    <x v="0"/>
    <x v="0"/>
    <x v="0"/>
  </r>
  <r>
    <x v="40"/>
    <x v="40"/>
    <x v="4"/>
    <x v="0"/>
    <x v="3"/>
    <x v="2"/>
    <x v="3"/>
    <x v="8"/>
    <x v="1"/>
  </r>
  <r>
    <x v="41"/>
    <x v="41"/>
    <x v="4"/>
    <x v="1"/>
    <x v="4"/>
    <x v="3"/>
    <x v="4"/>
    <x v="9"/>
    <x v="0"/>
  </r>
  <r>
    <x v="42"/>
    <x v="42"/>
    <x v="4"/>
    <x v="2"/>
    <x v="0"/>
    <x v="4"/>
    <x v="0"/>
    <x v="20"/>
    <x v="0"/>
  </r>
  <r>
    <x v="43"/>
    <x v="43"/>
    <x v="4"/>
    <x v="3"/>
    <x v="1"/>
    <x v="5"/>
    <x v="1"/>
    <x v="21"/>
    <x v="0"/>
  </r>
  <r>
    <x v="44"/>
    <x v="44"/>
    <x v="4"/>
    <x v="0"/>
    <x v="2"/>
    <x v="0"/>
    <x v="2"/>
    <x v="22"/>
    <x v="1"/>
  </r>
  <r>
    <x v="45"/>
    <x v="45"/>
    <x v="4"/>
    <x v="1"/>
    <x v="3"/>
    <x v="1"/>
    <x v="3"/>
    <x v="23"/>
    <x v="0"/>
  </r>
  <r>
    <x v="46"/>
    <x v="46"/>
    <x v="4"/>
    <x v="2"/>
    <x v="4"/>
    <x v="2"/>
    <x v="4"/>
    <x v="27"/>
    <x v="0"/>
  </r>
  <r>
    <x v="47"/>
    <x v="47"/>
    <x v="4"/>
    <x v="3"/>
    <x v="0"/>
    <x v="3"/>
    <x v="0"/>
    <x v="28"/>
    <x v="0"/>
  </r>
  <r>
    <x v="48"/>
    <x v="48"/>
    <x v="4"/>
    <x v="0"/>
    <x v="1"/>
    <x v="4"/>
    <x v="1"/>
    <x v="29"/>
    <x v="0"/>
  </r>
  <r>
    <x v="49"/>
    <x v="49"/>
    <x v="4"/>
    <x v="1"/>
    <x v="2"/>
    <x v="5"/>
    <x v="2"/>
    <x v="10"/>
    <x v="1"/>
  </r>
  <r>
    <x v="50"/>
    <x v="50"/>
    <x v="5"/>
    <x v="3"/>
    <x v="0"/>
    <x v="1"/>
    <x v="0"/>
    <x v="18"/>
    <x v="0"/>
  </r>
  <r>
    <x v="51"/>
    <x v="51"/>
    <x v="5"/>
    <x v="0"/>
    <x v="1"/>
    <x v="2"/>
    <x v="1"/>
    <x v="19"/>
    <x v="0"/>
  </r>
  <r>
    <x v="52"/>
    <x v="52"/>
    <x v="5"/>
    <x v="1"/>
    <x v="2"/>
    <x v="3"/>
    <x v="2"/>
    <x v="24"/>
    <x v="1"/>
  </r>
  <r>
    <x v="53"/>
    <x v="53"/>
    <x v="5"/>
    <x v="2"/>
    <x v="3"/>
    <x v="4"/>
    <x v="3"/>
    <x v="25"/>
    <x v="0"/>
  </r>
  <r>
    <x v="54"/>
    <x v="54"/>
    <x v="5"/>
    <x v="3"/>
    <x v="4"/>
    <x v="5"/>
    <x v="4"/>
    <x v="26"/>
    <x v="0"/>
  </r>
  <r>
    <x v="55"/>
    <x v="55"/>
    <x v="5"/>
    <x v="0"/>
    <x v="0"/>
    <x v="0"/>
    <x v="0"/>
    <x v="0"/>
    <x v="0"/>
  </r>
  <r>
    <x v="56"/>
    <x v="56"/>
    <x v="5"/>
    <x v="1"/>
    <x v="1"/>
    <x v="1"/>
    <x v="1"/>
    <x v="1"/>
    <x v="0"/>
  </r>
  <r>
    <x v="57"/>
    <x v="57"/>
    <x v="5"/>
    <x v="2"/>
    <x v="2"/>
    <x v="2"/>
    <x v="2"/>
    <x v="2"/>
    <x v="1"/>
  </r>
  <r>
    <x v="58"/>
    <x v="58"/>
    <x v="5"/>
    <x v="3"/>
    <x v="3"/>
    <x v="3"/>
    <x v="3"/>
    <x v="3"/>
    <x v="1"/>
  </r>
  <r>
    <x v="59"/>
    <x v="59"/>
    <x v="5"/>
    <x v="0"/>
    <x v="4"/>
    <x v="4"/>
    <x v="4"/>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030109-E2EF-46DD-B887-3E1296888205}"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9">
    <pivotField showAll="0"/>
    <pivotField numFmtId="164" showAll="0"/>
    <pivotField numFmtId="164" showAll="0"/>
    <pivotField showAll="0"/>
    <pivotField axis="axisRow" showAll="0">
      <items count="6">
        <item h="1" x="4"/>
        <item h="1" x="1"/>
        <item x="2"/>
        <item h="1" x="3"/>
        <item h="1" x="0"/>
        <item t="default"/>
      </items>
    </pivotField>
    <pivotField showAll="0"/>
    <pivotField numFmtId="165" showAll="0"/>
    <pivotField dataField="1" numFmtId="165" showAll="0"/>
    <pivotField showAll="0"/>
  </pivotFields>
  <rowFields count="1">
    <field x="4"/>
  </rowFields>
  <rowItems count="2">
    <i>
      <x v="2"/>
    </i>
    <i t="grand">
      <x/>
    </i>
  </rowItems>
  <colItems count="1">
    <i/>
  </colItems>
  <dataFields count="1">
    <dataField name="Sum of Revenue (£)" fld="7" baseField="0" baseItem="0" numFmtId="165"/>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68D97E-83CA-487A-86A4-686372D8CB10}" name="PivotTable4" cacheId="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2" firstHeaderRow="0" firstDataRow="1" firstDataCol="2"/>
  <pivotFields count="9">
    <pivotField compact="0"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compact="0" numFmtId="164" outline="0" showAll="0">
      <extLst>
        <ext xmlns:x14="http://schemas.microsoft.com/office/spreadsheetml/2009/9/main" uri="{2946ED86-A175-432a-8AC1-64E0C546D7DE}">
          <x14:pivotField fillDownLabels="1"/>
        </ext>
      </extLst>
    </pivotField>
    <pivotField axis="axisRow" compact="0" outline="0" showAll="0">
      <items count="5">
        <item x="1"/>
        <item x="3"/>
        <item x="0"/>
        <item x="2"/>
        <item t="default"/>
      </items>
      <extLst>
        <ext xmlns:x14="http://schemas.microsoft.com/office/spreadsheetml/2009/9/main" uri="{2946ED86-A175-432a-8AC1-64E0C546D7DE}">
          <x14:pivotField fillDownLabels="1"/>
        </ext>
      </extLst>
    </pivotField>
    <pivotField axis="axisRow" compact="0" outline="0" showAll="0">
      <items count="6">
        <item h="1" x="4"/>
        <item h="1" x="1"/>
        <item x="2"/>
        <item h="1" x="3"/>
        <item h="1" x="0"/>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dataField="1" compact="0" numFmtId="16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3"/>
    <field x="4"/>
  </rowFields>
  <rowItems count="9">
    <i>
      <x/>
      <x v="2"/>
    </i>
    <i t="default">
      <x/>
    </i>
    <i>
      <x v="1"/>
      <x v="2"/>
    </i>
    <i t="default">
      <x v="1"/>
    </i>
    <i>
      <x v="2"/>
      <x v="2"/>
    </i>
    <i t="default">
      <x v="2"/>
    </i>
    <i>
      <x v="3"/>
      <x v="2"/>
    </i>
    <i t="default">
      <x v="3"/>
    </i>
    <i t="grand">
      <x/>
    </i>
  </rowItems>
  <colFields count="1">
    <field x="-2"/>
  </colFields>
  <colItems count="2">
    <i>
      <x/>
    </i>
    <i i="1">
      <x v="1"/>
    </i>
  </colItems>
  <dataFields count="2">
    <dataField name="Sum of Units" fld="5" baseField="0" baseItem="0"/>
    <dataField name="Sum of Revenue (£)"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FC9B6A-7DC3-45E7-955B-D258EE8B6434}"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9">
    <pivotField showAll="0"/>
    <pivotField numFmtId="164" showAll="0"/>
    <pivotField numFmtId="164" showAll="0"/>
    <pivotField axis="axisRow" showAll="0">
      <items count="5">
        <item x="1"/>
        <item x="3"/>
        <item x="0"/>
        <item x="2"/>
        <item t="default"/>
      </items>
    </pivotField>
    <pivotField showAll="0">
      <items count="6">
        <item h="1" x="4"/>
        <item h="1" x="1"/>
        <item x="2"/>
        <item h="1" x="3"/>
        <item h="1" x="0"/>
        <item t="default"/>
      </items>
    </pivotField>
    <pivotField showAll="0"/>
    <pivotField numFmtId="165" showAll="0"/>
    <pivotField dataField="1" numFmtId="165" showAll="0"/>
    <pivotField showAll="0"/>
  </pivotFields>
  <rowFields count="1">
    <field x="3"/>
  </rowFields>
  <rowItems count="5">
    <i>
      <x/>
    </i>
    <i>
      <x v="1"/>
    </i>
    <i>
      <x v="2"/>
    </i>
    <i>
      <x v="3"/>
    </i>
    <i t="grand">
      <x/>
    </i>
  </rowItems>
  <colItems count="1">
    <i/>
  </colItems>
  <dataFields count="1">
    <dataField name="Sum of Revenue (£)" fld="7" baseField="0" baseItem="0" numFmtId="165"/>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4ACE6D-F5A7-4B70-A944-37A205E59283}"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9">
    <pivotField dataField="1" showAll="0"/>
    <pivotField numFmtId="164" showAll="0"/>
    <pivotField numFmtId="164" showAll="0"/>
    <pivotField showAll="0"/>
    <pivotField showAll="0">
      <items count="6">
        <item h="1" x="4"/>
        <item h="1" x="1"/>
        <item x="2"/>
        <item h="1" x="3"/>
        <item h="1" x="0"/>
        <item t="default"/>
      </items>
    </pivotField>
    <pivotField dataField="1" showAll="0"/>
    <pivotField numFmtId="165" showAll="0"/>
    <pivotField dataField="1" numFmtId="165" showAll="0"/>
    <pivotField showAll="0"/>
  </pivotFields>
  <rowItems count="1">
    <i/>
  </rowItems>
  <colFields count="1">
    <field x="-2"/>
  </colFields>
  <colItems count="3">
    <i>
      <x/>
    </i>
    <i i="1">
      <x v="1"/>
    </i>
    <i i="2">
      <x v="2"/>
    </i>
  </colItems>
  <dataFields count="3">
    <dataField name="Sum of Revenue (£)" fld="7" baseField="0" baseItem="0" numFmtId="165"/>
    <dataField name="Count of Order ID" fld="0" subtotal="count" baseField="0" baseItem="0"/>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21B1956-1690-4FE7-99CD-4549914F632E}" sourceName="Product">
  <pivotTables>
    <pivotTable tabId="8" name="PivotTable4"/>
    <pivotTable tabId="7" name="PivotTable3"/>
    <pivotTable tabId="9" name="PivotTable5"/>
    <pivotTable tabId="13" name="PivotTable7"/>
  </pivotTables>
  <data>
    <tabular pivotCacheId="2144296292">
      <items count="5">
        <i x="4"/>
        <i x="1"/>
        <i x="2"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49233AE-899F-4E22-B746-1F672FD77985}" cache="Slicer_Product" caption="Product" rowHeight="234950"/>
</slicer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0AA5-B87E-4E9E-B5BF-D2D26626A097}">
  <dimension ref="A3:B29"/>
  <sheetViews>
    <sheetView workbookViewId="0">
      <selection activeCell="B6" sqref="B6"/>
    </sheetView>
  </sheetViews>
  <sheetFormatPr defaultRowHeight="13.8"/>
  <cols>
    <col min="1" max="1" width="13.09765625" bestFit="1" customWidth="1"/>
    <col min="2" max="2" width="18.3984375" bestFit="1" customWidth="1"/>
    <col min="3" max="3" width="19" bestFit="1" customWidth="1"/>
  </cols>
  <sheetData>
    <row r="3" spans="1:2">
      <c r="A3" s="19" t="s">
        <v>174</v>
      </c>
      <c r="B3" t="s">
        <v>176</v>
      </c>
    </row>
    <row r="4" spans="1:2">
      <c r="A4" s="20" t="s">
        <v>16</v>
      </c>
      <c r="B4" s="1">
        <v>35700</v>
      </c>
    </row>
    <row r="5" spans="1:2">
      <c r="A5" s="20" t="s">
        <v>175</v>
      </c>
      <c r="B5" s="1">
        <v>35700</v>
      </c>
    </row>
    <row r="29" spans="1:2">
      <c r="A29" s="10" t="s">
        <v>177</v>
      </c>
      <c r="B29" s="10"/>
    </row>
  </sheetData>
  <mergeCells count="1">
    <mergeCell ref="A29:B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75C81-ABA1-4D83-81BB-F47D084AE4A4}">
  <dimension ref="A3:D12"/>
  <sheetViews>
    <sheetView zoomScaleNormal="100" workbookViewId="0">
      <selection activeCell="C17" sqref="C16:C17"/>
    </sheetView>
  </sheetViews>
  <sheetFormatPr defaultRowHeight="13.8"/>
  <cols>
    <col min="1" max="1" width="14.796875" bestFit="1" customWidth="1"/>
    <col min="2" max="2" width="9.69921875" bestFit="1" customWidth="1"/>
    <col min="3" max="3" width="12.09765625" bestFit="1" customWidth="1"/>
    <col min="4" max="4" width="18.3984375" bestFit="1" customWidth="1"/>
  </cols>
  <sheetData>
    <row r="3" spans="1:4">
      <c r="A3" s="19" t="s">
        <v>3</v>
      </c>
      <c r="B3" s="19" t="s">
        <v>4</v>
      </c>
      <c r="C3" t="s">
        <v>178</v>
      </c>
      <c r="D3" t="s">
        <v>176</v>
      </c>
    </row>
    <row r="4" spans="1:4">
      <c r="A4" t="s">
        <v>12</v>
      </c>
      <c r="B4" t="s">
        <v>16</v>
      </c>
      <c r="C4" s="21">
        <v>12</v>
      </c>
      <c r="D4" s="1">
        <v>10200</v>
      </c>
    </row>
    <row r="5" spans="1:4">
      <c r="A5" t="s">
        <v>179</v>
      </c>
      <c r="C5" s="21">
        <v>12</v>
      </c>
      <c r="D5" s="1">
        <v>10200</v>
      </c>
    </row>
    <row r="6" spans="1:4">
      <c r="A6" t="s">
        <v>18</v>
      </c>
      <c r="B6" t="s">
        <v>16</v>
      </c>
      <c r="C6" s="21">
        <v>12</v>
      </c>
      <c r="D6" s="1">
        <v>10200</v>
      </c>
    </row>
    <row r="7" spans="1:4">
      <c r="A7" t="s">
        <v>180</v>
      </c>
      <c r="C7" s="21">
        <v>12</v>
      </c>
      <c r="D7" s="1">
        <v>10200</v>
      </c>
    </row>
    <row r="8" spans="1:4">
      <c r="A8" t="s">
        <v>9</v>
      </c>
      <c r="B8" t="s">
        <v>16</v>
      </c>
      <c r="C8" s="21">
        <v>4</v>
      </c>
      <c r="D8" s="1">
        <v>3400</v>
      </c>
    </row>
    <row r="9" spans="1:4">
      <c r="A9" t="s">
        <v>181</v>
      </c>
      <c r="C9" s="21">
        <v>4</v>
      </c>
      <c r="D9" s="1">
        <v>3400</v>
      </c>
    </row>
    <row r="10" spans="1:4">
      <c r="A10" t="s">
        <v>15</v>
      </c>
      <c r="B10" t="s">
        <v>16</v>
      </c>
      <c r="C10" s="21">
        <v>14</v>
      </c>
      <c r="D10" s="1">
        <v>11900</v>
      </c>
    </row>
    <row r="11" spans="1:4">
      <c r="A11" t="s">
        <v>182</v>
      </c>
      <c r="C11" s="21">
        <v>14</v>
      </c>
      <c r="D11" s="1">
        <v>11900</v>
      </c>
    </row>
    <row r="12" spans="1:4">
      <c r="A12" t="s">
        <v>175</v>
      </c>
      <c r="C12" s="21">
        <v>42</v>
      </c>
      <c r="D12" s="1">
        <v>35700</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C80A6-30FD-4374-A162-3FFAF412D6FC}">
  <dimension ref="A3:B8"/>
  <sheetViews>
    <sheetView workbookViewId="0">
      <selection activeCell="B5" sqref="B5"/>
    </sheetView>
  </sheetViews>
  <sheetFormatPr defaultRowHeight="13.8"/>
  <cols>
    <col min="1" max="1" width="13.09765625" bestFit="1" customWidth="1"/>
    <col min="2" max="2" width="18.3984375" bestFit="1" customWidth="1"/>
  </cols>
  <sheetData>
    <row r="3" spans="1:2">
      <c r="A3" s="19" t="s">
        <v>174</v>
      </c>
      <c r="B3" t="s">
        <v>176</v>
      </c>
    </row>
    <row r="4" spans="1:2">
      <c r="A4" s="20" t="s">
        <v>12</v>
      </c>
      <c r="B4" s="1">
        <v>10200</v>
      </c>
    </row>
    <row r="5" spans="1:2">
      <c r="A5" s="20" t="s">
        <v>18</v>
      </c>
      <c r="B5" s="1">
        <v>10200</v>
      </c>
    </row>
    <row r="6" spans="1:2">
      <c r="A6" s="20" t="s">
        <v>9</v>
      </c>
      <c r="B6" s="1">
        <v>3400</v>
      </c>
    </row>
    <row r="7" spans="1:2">
      <c r="A7" s="20" t="s">
        <v>15</v>
      </c>
      <c r="B7" s="1">
        <v>11900</v>
      </c>
    </row>
    <row r="8" spans="1:2">
      <c r="A8" s="20" t="s">
        <v>175</v>
      </c>
      <c r="B8" s="1">
        <v>35700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BB4CC-A302-460D-8829-1E623DE218F5}">
  <dimension ref="B1:I1"/>
  <sheetViews>
    <sheetView tabSelected="1" workbookViewId="0">
      <selection activeCell="I1" sqref="I1"/>
    </sheetView>
  </sheetViews>
  <sheetFormatPr defaultRowHeight="13.8"/>
  <cols>
    <col min="2" max="2" width="12.59765625" customWidth="1"/>
    <col min="3" max="3" width="17.5" bestFit="1" customWidth="1"/>
  </cols>
  <sheetData>
    <row r="1" spans="2:9" ht="22.8">
      <c r="B1" s="23" t="s">
        <v>183</v>
      </c>
      <c r="C1" s="24">
        <f>'KPI Revenue'!A4</f>
        <v>35700</v>
      </c>
      <c r="E1" t="s">
        <v>142</v>
      </c>
      <c r="F1" s="22">
        <f>'KPI Revenue'!B4</f>
        <v>12</v>
      </c>
      <c r="H1" t="s">
        <v>121</v>
      </c>
      <c r="I1" s="22">
        <f>'KPI Revenue'!C4</f>
        <v>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1814-3BA2-457E-B297-9F5A2A5F3D1B}">
  <dimension ref="A3:C10"/>
  <sheetViews>
    <sheetView workbookViewId="0">
      <selection activeCell="C4" sqref="C4"/>
    </sheetView>
  </sheetViews>
  <sheetFormatPr defaultRowHeight="13.8"/>
  <cols>
    <col min="1" max="1" width="18.3984375" bestFit="1" customWidth="1"/>
    <col min="2" max="2" width="16.19921875" bestFit="1" customWidth="1"/>
    <col min="3" max="3" width="12.09765625" bestFit="1" customWidth="1"/>
  </cols>
  <sheetData>
    <row r="3" spans="1:3">
      <c r="A3" t="s">
        <v>176</v>
      </c>
      <c r="B3" t="s">
        <v>185</v>
      </c>
      <c r="C3" t="s">
        <v>178</v>
      </c>
    </row>
    <row r="4" spans="1:3">
      <c r="A4" s="1">
        <v>35700</v>
      </c>
      <c r="B4" s="21">
        <v>12</v>
      </c>
      <c r="C4" s="21">
        <v>42</v>
      </c>
    </row>
    <row r="10" spans="1:3">
      <c r="A10" s="25" t="s">
        <v>184</v>
      </c>
      <c r="B10" s="25"/>
      <c r="C10" s="25"/>
    </row>
  </sheetData>
  <mergeCells count="1">
    <mergeCell ref="A10:C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workbookViewId="0">
      <pane ySplit="1" topLeftCell="A36" activePane="bottomLeft" state="frozen"/>
      <selection pane="bottomLeft" activeCell="B15" sqref="B15"/>
    </sheetView>
  </sheetViews>
  <sheetFormatPr defaultRowHeight="13.8"/>
  <cols>
    <col min="1" max="1" width="15" customWidth="1"/>
    <col min="2" max="3" width="18" customWidth="1"/>
    <col min="4" max="4" width="17" customWidth="1"/>
    <col min="5" max="5" width="19" customWidth="1"/>
    <col min="6" max="6" width="12" customWidth="1"/>
    <col min="7" max="8" width="19" customWidth="1"/>
    <col min="9" max="9" width="14.69921875" customWidth="1"/>
  </cols>
  <sheetData>
    <row r="1" spans="1:9" ht="28.05" customHeight="1">
      <c r="A1" s="6" t="s">
        <v>0</v>
      </c>
      <c r="B1" s="6" t="s">
        <v>1</v>
      </c>
      <c r="C1" s="6" t="s">
        <v>2</v>
      </c>
      <c r="D1" s="6" t="s">
        <v>3</v>
      </c>
      <c r="E1" s="6" t="s">
        <v>4</v>
      </c>
      <c r="F1" s="6" t="s">
        <v>5</v>
      </c>
      <c r="G1" s="6" t="s">
        <v>6</v>
      </c>
      <c r="H1" s="6" t="s">
        <v>7</v>
      </c>
      <c r="I1" s="18" t="s">
        <v>169</v>
      </c>
    </row>
    <row r="2" spans="1:9">
      <c r="A2" s="7" t="s">
        <v>8</v>
      </c>
      <c r="B2" s="8">
        <v>46025</v>
      </c>
      <c r="C2" s="8">
        <v>46023</v>
      </c>
      <c r="D2" s="7" t="s">
        <v>9</v>
      </c>
      <c r="E2" s="7" t="s">
        <v>10</v>
      </c>
      <c r="F2" s="7">
        <v>3</v>
      </c>
      <c r="G2" s="9">
        <v>25</v>
      </c>
      <c r="H2" s="9">
        <f t="shared" ref="H2:H33" si="0">F2*G2</f>
        <v>75</v>
      </c>
      <c r="I2" t="str">
        <f>IF(H2&gt;=1000,"High Sales","Low Sales")</f>
        <v>Low Sales</v>
      </c>
    </row>
    <row r="3" spans="1:9">
      <c r="A3" s="7" t="s">
        <v>11</v>
      </c>
      <c r="B3" s="8">
        <v>46027</v>
      </c>
      <c r="C3" s="8">
        <v>46023</v>
      </c>
      <c r="D3" s="7" t="s">
        <v>12</v>
      </c>
      <c r="E3" s="7" t="s">
        <v>13</v>
      </c>
      <c r="F3" s="7">
        <v>4</v>
      </c>
      <c r="G3" s="9">
        <v>40</v>
      </c>
      <c r="H3" s="9">
        <f t="shared" si="0"/>
        <v>160</v>
      </c>
      <c r="I3" t="str">
        <f t="shared" ref="I3:I61" si="1">IF(H3&gt;=1000,"High Sales","Low Sales")</f>
        <v>Low Sales</v>
      </c>
    </row>
    <row r="4" spans="1:9">
      <c r="A4" s="7" t="s">
        <v>14</v>
      </c>
      <c r="B4" s="8">
        <v>46029</v>
      </c>
      <c r="C4" s="8">
        <v>46023</v>
      </c>
      <c r="D4" s="7" t="s">
        <v>15</v>
      </c>
      <c r="E4" s="7" t="s">
        <v>16</v>
      </c>
      <c r="F4" s="7">
        <v>5</v>
      </c>
      <c r="G4" s="9">
        <v>850</v>
      </c>
      <c r="H4" s="9">
        <f t="shared" si="0"/>
        <v>4250</v>
      </c>
      <c r="I4" t="str">
        <f t="shared" si="1"/>
        <v>High Sales</v>
      </c>
    </row>
    <row r="5" spans="1:9">
      <c r="A5" s="7" t="s">
        <v>17</v>
      </c>
      <c r="B5" s="8">
        <v>46031</v>
      </c>
      <c r="C5" s="8">
        <v>46023</v>
      </c>
      <c r="D5" s="7" t="s">
        <v>18</v>
      </c>
      <c r="E5" s="7" t="s">
        <v>19</v>
      </c>
      <c r="F5" s="7">
        <v>6</v>
      </c>
      <c r="G5" s="9">
        <v>220</v>
      </c>
      <c r="H5" s="9">
        <f t="shared" si="0"/>
        <v>1320</v>
      </c>
      <c r="I5" t="str">
        <f t="shared" si="1"/>
        <v>High Sales</v>
      </c>
    </row>
    <row r="6" spans="1:9">
      <c r="A6" s="7" t="s">
        <v>20</v>
      </c>
      <c r="B6" s="8">
        <v>46033</v>
      </c>
      <c r="C6" s="8">
        <v>46023</v>
      </c>
      <c r="D6" s="7" t="s">
        <v>9</v>
      </c>
      <c r="E6" s="7" t="s">
        <v>21</v>
      </c>
      <c r="F6" s="7">
        <v>1</v>
      </c>
      <c r="G6" s="9">
        <v>65</v>
      </c>
      <c r="H6" s="9">
        <f t="shared" si="0"/>
        <v>65</v>
      </c>
      <c r="I6" t="str">
        <f t="shared" si="1"/>
        <v>Low Sales</v>
      </c>
    </row>
    <row r="7" spans="1:9">
      <c r="A7" s="7" t="s">
        <v>22</v>
      </c>
      <c r="B7" s="8">
        <v>46035</v>
      </c>
      <c r="C7" s="8">
        <v>46023</v>
      </c>
      <c r="D7" s="7" t="s">
        <v>12</v>
      </c>
      <c r="E7" s="7" t="s">
        <v>10</v>
      </c>
      <c r="F7" s="7">
        <v>2</v>
      </c>
      <c r="G7" s="9">
        <v>25</v>
      </c>
      <c r="H7" s="9">
        <f t="shared" si="0"/>
        <v>50</v>
      </c>
      <c r="I7" t="str">
        <f t="shared" si="1"/>
        <v>Low Sales</v>
      </c>
    </row>
    <row r="8" spans="1:9">
      <c r="A8" s="7" t="s">
        <v>23</v>
      </c>
      <c r="B8" s="8">
        <v>46037</v>
      </c>
      <c r="C8" s="8">
        <v>46023</v>
      </c>
      <c r="D8" s="7" t="s">
        <v>15</v>
      </c>
      <c r="E8" s="7" t="s">
        <v>13</v>
      </c>
      <c r="F8" s="7">
        <v>3</v>
      </c>
      <c r="G8" s="9">
        <v>40</v>
      </c>
      <c r="H8" s="9">
        <f t="shared" si="0"/>
        <v>120</v>
      </c>
      <c r="I8" t="str">
        <f t="shared" si="1"/>
        <v>Low Sales</v>
      </c>
    </row>
    <row r="9" spans="1:9">
      <c r="A9" s="7" t="s">
        <v>24</v>
      </c>
      <c r="B9" s="8">
        <v>46039</v>
      </c>
      <c r="C9" s="8">
        <v>46023</v>
      </c>
      <c r="D9" s="7" t="s">
        <v>18</v>
      </c>
      <c r="E9" s="7" t="s">
        <v>16</v>
      </c>
      <c r="F9" s="7">
        <v>4</v>
      </c>
      <c r="G9" s="9">
        <v>850</v>
      </c>
      <c r="H9" s="9">
        <f t="shared" si="0"/>
        <v>3400</v>
      </c>
      <c r="I9" t="str">
        <f t="shared" si="1"/>
        <v>High Sales</v>
      </c>
    </row>
    <row r="10" spans="1:9">
      <c r="A10" s="7" t="s">
        <v>25</v>
      </c>
      <c r="B10" s="8">
        <v>46041</v>
      </c>
      <c r="C10" s="8">
        <v>46023</v>
      </c>
      <c r="D10" s="7" t="s">
        <v>9</v>
      </c>
      <c r="E10" s="7" t="s">
        <v>19</v>
      </c>
      <c r="F10" s="7">
        <v>5</v>
      </c>
      <c r="G10" s="9">
        <v>220</v>
      </c>
      <c r="H10" s="9">
        <f t="shared" si="0"/>
        <v>1100</v>
      </c>
      <c r="I10" t="str">
        <f t="shared" si="1"/>
        <v>High Sales</v>
      </c>
    </row>
    <row r="11" spans="1:9">
      <c r="A11" s="7" t="s">
        <v>26</v>
      </c>
      <c r="B11" s="8">
        <v>46043</v>
      </c>
      <c r="C11" s="8">
        <v>46023</v>
      </c>
      <c r="D11" s="7" t="s">
        <v>12</v>
      </c>
      <c r="E11" s="7" t="s">
        <v>21</v>
      </c>
      <c r="F11" s="7">
        <v>6</v>
      </c>
      <c r="G11" s="9">
        <v>65</v>
      </c>
      <c r="H11" s="9">
        <f t="shared" si="0"/>
        <v>390</v>
      </c>
      <c r="I11" t="str">
        <f t="shared" si="1"/>
        <v>Low Sales</v>
      </c>
    </row>
    <row r="12" spans="1:9">
      <c r="A12" s="7" t="s">
        <v>27</v>
      </c>
      <c r="B12" s="8">
        <v>46076</v>
      </c>
      <c r="C12" s="8">
        <v>46054</v>
      </c>
      <c r="D12" s="7" t="s">
        <v>18</v>
      </c>
      <c r="E12" s="7" t="s">
        <v>16</v>
      </c>
      <c r="F12" s="7">
        <v>2</v>
      </c>
      <c r="G12" s="9">
        <v>850</v>
      </c>
      <c r="H12" s="9">
        <f t="shared" si="0"/>
        <v>1700</v>
      </c>
      <c r="I12" t="str">
        <f t="shared" si="1"/>
        <v>High Sales</v>
      </c>
    </row>
    <row r="13" spans="1:9">
      <c r="A13" s="7" t="s">
        <v>28</v>
      </c>
      <c r="B13" s="8">
        <v>46078</v>
      </c>
      <c r="C13" s="8">
        <v>46054</v>
      </c>
      <c r="D13" s="7" t="s">
        <v>9</v>
      </c>
      <c r="E13" s="7" t="s">
        <v>19</v>
      </c>
      <c r="F13" s="7">
        <v>3</v>
      </c>
      <c r="G13" s="9">
        <v>220</v>
      </c>
      <c r="H13" s="9">
        <f t="shared" si="0"/>
        <v>660</v>
      </c>
      <c r="I13" t="str">
        <f t="shared" si="1"/>
        <v>Low Sales</v>
      </c>
    </row>
    <row r="14" spans="1:9">
      <c r="A14" s="7" t="s">
        <v>29</v>
      </c>
      <c r="B14" s="8">
        <v>46080</v>
      </c>
      <c r="C14" s="8">
        <v>46054</v>
      </c>
      <c r="D14" s="7" t="s">
        <v>12</v>
      </c>
      <c r="E14" s="7" t="s">
        <v>21</v>
      </c>
      <c r="F14" s="7">
        <v>4</v>
      </c>
      <c r="G14" s="9">
        <v>65</v>
      </c>
      <c r="H14" s="9">
        <f t="shared" si="0"/>
        <v>260</v>
      </c>
      <c r="I14" t="str">
        <f t="shared" si="1"/>
        <v>Low Sales</v>
      </c>
    </row>
    <row r="15" spans="1:9">
      <c r="A15" s="7" t="s">
        <v>30</v>
      </c>
      <c r="B15" s="8">
        <v>46055</v>
      </c>
      <c r="C15" s="8">
        <v>46054</v>
      </c>
      <c r="D15" s="7" t="s">
        <v>15</v>
      </c>
      <c r="E15" s="7" t="s">
        <v>10</v>
      </c>
      <c r="F15" s="7">
        <v>5</v>
      </c>
      <c r="G15" s="9">
        <v>25</v>
      </c>
      <c r="H15" s="9">
        <f t="shared" si="0"/>
        <v>125</v>
      </c>
      <c r="I15" t="str">
        <f t="shared" si="1"/>
        <v>Low Sales</v>
      </c>
    </row>
    <row r="16" spans="1:9">
      <c r="A16" s="7" t="s">
        <v>31</v>
      </c>
      <c r="B16" s="8">
        <v>46057</v>
      </c>
      <c r="C16" s="8">
        <v>46054</v>
      </c>
      <c r="D16" s="7" t="s">
        <v>18</v>
      </c>
      <c r="E16" s="7" t="s">
        <v>13</v>
      </c>
      <c r="F16" s="7">
        <v>6</v>
      </c>
      <c r="G16" s="9">
        <v>40</v>
      </c>
      <c r="H16" s="9">
        <f t="shared" si="0"/>
        <v>240</v>
      </c>
      <c r="I16" t="str">
        <f t="shared" si="1"/>
        <v>Low Sales</v>
      </c>
    </row>
    <row r="17" spans="1:9">
      <c r="A17" s="7" t="s">
        <v>32</v>
      </c>
      <c r="B17" s="8">
        <v>46059</v>
      </c>
      <c r="C17" s="8">
        <v>46054</v>
      </c>
      <c r="D17" s="7" t="s">
        <v>9</v>
      </c>
      <c r="E17" s="7" t="s">
        <v>16</v>
      </c>
      <c r="F17" s="7">
        <v>1</v>
      </c>
      <c r="G17" s="9">
        <v>850</v>
      </c>
      <c r="H17" s="9">
        <f t="shared" si="0"/>
        <v>850</v>
      </c>
      <c r="I17" t="str">
        <f t="shared" si="1"/>
        <v>Low Sales</v>
      </c>
    </row>
    <row r="18" spans="1:9">
      <c r="A18" s="7" t="s">
        <v>33</v>
      </c>
      <c r="B18" s="8">
        <v>46061</v>
      </c>
      <c r="C18" s="8">
        <v>46054</v>
      </c>
      <c r="D18" s="7" t="s">
        <v>12</v>
      </c>
      <c r="E18" s="7" t="s">
        <v>19</v>
      </c>
      <c r="F18" s="7">
        <v>2</v>
      </c>
      <c r="G18" s="9">
        <v>220</v>
      </c>
      <c r="H18" s="9">
        <f t="shared" si="0"/>
        <v>440</v>
      </c>
      <c r="I18" t="str">
        <f t="shared" si="1"/>
        <v>Low Sales</v>
      </c>
    </row>
    <row r="19" spans="1:9">
      <c r="A19" s="7" t="s">
        <v>34</v>
      </c>
      <c r="B19" s="8">
        <v>46063</v>
      </c>
      <c r="C19" s="8">
        <v>46054</v>
      </c>
      <c r="D19" s="7" t="s">
        <v>15</v>
      </c>
      <c r="E19" s="7" t="s">
        <v>21</v>
      </c>
      <c r="F19" s="7">
        <v>3</v>
      </c>
      <c r="G19" s="9">
        <v>65</v>
      </c>
      <c r="H19" s="9">
        <f t="shared" si="0"/>
        <v>195</v>
      </c>
      <c r="I19" t="str">
        <f t="shared" si="1"/>
        <v>Low Sales</v>
      </c>
    </row>
    <row r="20" spans="1:9">
      <c r="A20" s="7" t="s">
        <v>35</v>
      </c>
      <c r="B20" s="8">
        <v>46065</v>
      </c>
      <c r="C20" s="8">
        <v>46054</v>
      </c>
      <c r="D20" s="7" t="s">
        <v>18</v>
      </c>
      <c r="E20" s="7" t="s">
        <v>10</v>
      </c>
      <c r="F20" s="7">
        <v>4</v>
      </c>
      <c r="G20" s="9">
        <v>25</v>
      </c>
      <c r="H20" s="9">
        <f t="shared" si="0"/>
        <v>100</v>
      </c>
      <c r="I20" t="str">
        <f t="shared" si="1"/>
        <v>Low Sales</v>
      </c>
    </row>
    <row r="21" spans="1:9">
      <c r="A21" s="7" t="s">
        <v>36</v>
      </c>
      <c r="B21" s="8">
        <v>46067</v>
      </c>
      <c r="C21" s="8">
        <v>46054</v>
      </c>
      <c r="D21" s="7" t="s">
        <v>9</v>
      </c>
      <c r="E21" s="7" t="s">
        <v>13</v>
      </c>
      <c r="F21" s="7">
        <v>5</v>
      </c>
      <c r="G21" s="9">
        <v>40</v>
      </c>
      <c r="H21" s="9">
        <f t="shared" si="0"/>
        <v>200</v>
      </c>
      <c r="I21" t="str">
        <f t="shared" si="1"/>
        <v>Low Sales</v>
      </c>
    </row>
    <row r="22" spans="1:9">
      <c r="A22" s="7" t="s">
        <v>37</v>
      </c>
      <c r="B22" s="8">
        <v>46097</v>
      </c>
      <c r="C22" s="8">
        <v>46082</v>
      </c>
      <c r="D22" s="7" t="s">
        <v>15</v>
      </c>
      <c r="E22" s="7" t="s">
        <v>21</v>
      </c>
      <c r="F22" s="7">
        <v>1</v>
      </c>
      <c r="G22" s="9">
        <v>65</v>
      </c>
      <c r="H22" s="9">
        <f t="shared" si="0"/>
        <v>65</v>
      </c>
      <c r="I22" t="str">
        <f t="shared" si="1"/>
        <v>Low Sales</v>
      </c>
    </row>
    <row r="23" spans="1:9">
      <c r="A23" s="7" t="s">
        <v>38</v>
      </c>
      <c r="B23" s="8">
        <v>46099</v>
      </c>
      <c r="C23" s="8">
        <v>46082</v>
      </c>
      <c r="D23" s="7" t="s">
        <v>18</v>
      </c>
      <c r="E23" s="7" t="s">
        <v>10</v>
      </c>
      <c r="F23" s="7">
        <v>2</v>
      </c>
      <c r="G23" s="9">
        <v>25</v>
      </c>
      <c r="H23" s="9">
        <f t="shared" si="0"/>
        <v>50</v>
      </c>
      <c r="I23" t="str">
        <f t="shared" si="1"/>
        <v>Low Sales</v>
      </c>
    </row>
    <row r="24" spans="1:9">
      <c r="A24" s="7" t="s">
        <v>39</v>
      </c>
      <c r="B24" s="8">
        <v>46101</v>
      </c>
      <c r="C24" s="8">
        <v>46082</v>
      </c>
      <c r="D24" s="7" t="s">
        <v>9</v>
      </c>
      <c r="E24" s="7" t="s">
        <v>13</v>
      </c>
      <c r="F24" s="7">
        <v>3</v>
      </c>
      <c r="G24" s="9">
        <v>40</v>
      </c>
      <c r="H24" s="9">
        <f t="shared" si="0"/>
        <v>120</v>
      </c>
      <c r="I24" t="str">
        <f t="shared" si="1"/>
        <v>Low Sales</v>
      </c>
    </row>
    <row r="25" spans="1:9">
      <c r="A25" s="7" t="s">
        <v>40</v>
      </c>
      <c r="B25" s="8">
        <v>46103</v>
      </c>
      <c r="C25" s="8">
        <v>46082</v>
      </c>
      <c r="D25" s="7" t="s">
        <v>12</v>
      </c>
      <c r="E25" s="7" t="s">
        <v>16</v>
      </c>
      <c r="F25" s="7">
        <v>4</v>
      </c>
      <c r="G25" s="9">
        <v>850</v>
      </c>
      <c r="H25" s="9">
        <f t="shared" si="0"/>
        <v>3400</v>
      </c>
      <c r="I25" t="str">
        <f t="shared" si="1"/>
        <v>High Sales</v>
      </c>
    </row>
    <row r="26" spans="1:9">
      <c r="A26" s="7" t="s">
        <v>41</v>
      </c>
      <c r="B26" s="8">
        <v>46105</v>
      </c>
      <c r="C26" s="8">
        <v>46082</v>
      </c>
      <c r="D26" s="7" t="s">
        <v>15</v>
      </c>
      <c r="E26" s="7" t="s">
        <v>19</v>
      </c>
      <c r="F26" s="7">
        <v>5</v>
      </c>
      <c r="G26" s="9">
        <v>220</v>
      </c>
      <c r="H26" s="9">
        <f t="shared" si="0"/>
        <v>1100</v>
      </c>
      <c r="I26" t="str">
        <f t="shared" si="1"/>
        <v>High Sales</v>
      </c>
    </row>
    <row r="27" spans="1:9">
      <c r="A27" s="7" t="s">
        <v>42</v>
      </c>
      <c r="B27" s="8">
        <v>46107</v>
      </c>
      <c r="C27" s="8">
        <v>46082</v>
      </c>
      <c r="D27" s="7" t="s">
        <v>18</v>
      </c>
      <c r="E27" s="7" t="s">
        <v>21</v>
      </c>
      <c r="F27" s="7">
        <v>6</v>
      </c>
      <c r="G27" s="9">
        <v>65</v>
      </c>
      <c r="H27" s="9">
        <f t="shared" si="0"/>
        <v>390</v>
      </c>
      <c r="I27" t="str">
        <f t="shared" si="1"/>
        <v>Low Sales</v>
      </c>
    </row>
    <row r="28" spans="1:9">
      <c r="A28" s="7" t="s">
        <v>43</v>
      </c>
      <c r="B28" s="8">
        <v>46082</v>
      </c>
      <c r="C28" s="8">
        <v>46082</v>
      </c>
      <c r="D28" s="7" t="s">
        <v>9</v>
      </c>
      <c r="E28" s="7" t="s">
        <v>10</v>
      </c>
      <c r="F28" s="7">
        <v>1</v>
      </c>
      <c r="G28" s="9">
        <v>25</v>
      </c>
      <c r="H28" s="9">
        <f t="shared" si="0"/>
        <v>25</v>
      </c>
      <c r="I28" t="str">
        <f t="shared" si="1"/>
        <v>Low Sales</v>
      </c>
    </row>
    <row r="29" spans="1:9">
      <c r="A29" s="7" t="s">
        <v>44</v>
      </c>
      <c r="B29" s="8">
        <v>46084</v>
      </c>
      <c r="C29" s="8">
        <v>46082</v>
      </c>
      <c r="D29" s="7" t="s">
        <v>12</v>
      </c>
      <c r="E29" s="7" t="s">
        <v>13</v>
      </c>
      <c r="F29" s="7">
        <v>2</v>
      </c>
      <c r="G29" s="9">
        <v>40</v>
      </c>
      <c r="H29" s="9">
        <f t="shared" si="0"/>
        <v>80</v>
      </c>
      <c r="I29" t="str">
        <f t="shared" si="1"/>
        <v>Low Sales</v>
      </c>
    </row>
    <row r="30" spans="1:9">
      <c r="A30" s="7" t="s">
        <v>45</v>
      </c>
      <c r="B30" s="8">
        <v>46086</v>
      </c>
      <c r="C30" s="8">
        <v>46082</v>
      </c>
      <c r="D30" s="7" t="s">
        <v>15</v>
      </c>
      <c r="E30" s="7" t="s">
        <v>16</v>
      </c>
      <c r="F30" s="7">
        <v>3</v>
      </c>
      <c r="G30" s="9">
        <v>850</v>
      </c>
      <c r="H30" s="9">
        <f t="shared" si="0"/>
        <v>2550</v>
      </c>
      <c r="I30" t="str">
        <f t="shared" si="1"/>
        <v>High Sales</v>
      </c>
    </row>
    <row r="31" spans="1:9">
      <c r="A31" s="7" t="s">
        <v>46</v>
      </c>
      <c r="B31" s="8">
        <v>46088</v>
      </c>
      <c r="C31" s="8">
        <v>46082</v>
      </c>
      <c r="D31" s="7" t="s">
        <v>18</v>
      </c>
      <c r="E31" s="7" t="s">
        <v>19</v>
      </c>
      <c r="F31" s="7">
        <v>4</v>
      </c>
      <c r="G31" s="9">
        <v>220</v>
      </c>
      <c r="H31" s="9">
        <f t="shared" si="0"/>
        <v>880</v>
      </c>
      <c r="I31" t="str">
        <f t="shared" si="1"/>
        <v>Low Sales</v>
      </c>
    </row>
    <row r="32" spans="1:9">
      <c r="A32" s="7" t="s">
        <v>47</v>
      </c>
      <c r="B32" s="8">
        <v>46121</v>
      </c>
      <c r="C32" s="8">
        <v>46113</v>
      </c>
      <c r="D32" s="7" t="s">
        <v>12</v>
      </c>
      <c r="E32" s="7" t="s">
        <v>13</v>
      </c>
      <c r="F32" s="7">
        <v>6</v>
      </c>
      <c r="G32" s="9">
        <v>40</v>
      </c>
      <c r="H32" s="9">
        <f t="shared" si="0"/>
        <v>240</v>
      </c>
      <c r="I32" t="str">
        <f t="shared" si="1"/>
        <v>Low Sales</v>
      </c>
    </row>
    <row r="33" spans="1:9">
      <c r="A33" s="7" t="s">
        <v>48</v>
      </c>
      <c r="B33" s="8">
        <v>46123</v>
      </c>
      <c r="C33" s="8">
        <v>46113</v>
      </c>
      <c r="D33" s="7" t="s">
        <v>15</v>
      </c>
      <c r="E33" s="7" t="s">
        <v>16</v>
      </c>
      <c r="F33" s="7">
        <v>1</v>
      </c>
      <c r="G33" s="9">
        <v>850</v>
      </c>
      <c r="H33" s="9">
        <f t="shared" si="0"/>
        <v>850</v>
      </c>
      <c r="I33" t="str">
        <f t="shared" si="1"/>
        <v>Low Sales</v>
      </c>
    </row>
    <row r="34" spans="1:9">
      <c r="A34" s="7" t="s">
        <v>49</v>
      </c>
      <c r="B34" s="8">
        <v>46125</v>
      </c>
      <c r="C34" s="8">
        <v>46113</v>
      </c>
      <c r="D34" s="7" t="s">
        <v>18</v>
      </c>
      <c r="E34" s="7" t="s">
        <v>19</v>
      </c>
      <c r="F34" s="7">
        <v>2</v>
      </c>
      <c r="G34" s="9">
        <v>220</v>
      </c>
      <c r="H34" s="9">
        <f t="shared" ref="H34:H61" si="2">F34*G34</f>
        <v>440</v>
      </c>
      <c r="I34" t="str">
        <f t="shared" si="1"/>
        <v>Low Sales</v>
      </c>
    </row>
    <row r="35" spans="1:9">
      <c r="A35" s="7" t="s">
        <v>50</v>
      </c>
      <c r="B35" s="8">
        <v>46127</v>
      </c>
      <c r="C35" s="8">
        <v>46113</v>
      </c>
      <c r="D35" s="7" t="s">
        <v>9</v>
      </c>
      <c r="E35" s="7" t="s">
        <v>21</v>
      </c>
      <c r="F35" s="7">
        <v>3</v>
      </c>
      <c r="G35" s="9">
        <v>65</v>
      </c>
      <c r="H35" s="9">
        <f t="shared" si="2"/>
        <v>195</v>
      </c>
      <c r="I35" t="str">
        <f t="shared" si="1"/>
        <v>Low Sales</v>
      </c>
    </row>
    <row r="36" spans="1:9">
      <c r="A36" s="7" t="s">
        <v>51</v>
      </c>
      <c r="B36" s="8">
        <v>46129</v>
      </c>
      <c r="C36" s="8">
        <v>46113</v>
      </c>
      <c r="D36" s="7" t="s">
        <v>12</v>
      </c>
      <c r="E36" s="7" t="s">
        <v>10</v>
      </c>
      <c r="F36" s="7">
        <v>4</v>
      </c>
      <c r="G36" s="9">
        <v>25</v>
      </c>
      <c r="H36" s="9">
        <f t="shared" si="2"/>
        <v>100</v>
      </c>
      <c r="I36" t="str">
        <f t="shared" si="1"/>
        <v>Low Sales</v>
      </c>
    </row>
    <row r="37" spans="1:9">
      <c r="A37" s="7" t="s">
        <v>52</v>
      </c>
      <c r="B37" s="8">
        <v>46131</v>
      </c>
      <c r="C37" s="8">
        <v>46113</v>
      </c>
      <c r="D37" s="7" t="s">
        <v>15</v>
      </c>
      <c r="E37" s="7" t="s">
        <v>13</v>
      </c>
      <c r="F37" s="7">
        <v>5</v>
      </c>
      <c r="G37" s="9">
        <v>40</v>
      </c>
      <c r="H37" s="9">
        <f t="shared" si="2"/>
        <v>200</v>
      </c>
      <c r="I37" t="str">
        <f t="shared" si="1"/>
        <v>Low Sales</v>
      </c>
    </row>
    <row r="38" spans="1:9">
      <c r="A38" s="7" t="s">
        <v>53</v>
      </c>
      <c r="B38" s="8">
        <v>46133</v>
      </c>
      <c r="C38" s="8">
        <v>46113</v>
      </c>
      <c r="D38" s="7" t="s">
        <v>18</v>
      </c>
      <c r="E38" s="7" t="s">
        <v>16</v>
      </c>
      <c r="F38" s="7">
        <v>6</v>
      </c>
      <c r="G38" s="9">
        <v>850</v>
      </c>
      <c r="H38" s="9">
        <f t="shared" si="2"/>
        <v>5100</v>
      </c>
      <c r="I38" t="str">
        <f t="shared" si="1"/>
        <v>High Sales</v>
      </c>
    </row>
    <row r="39" spans="1:9">
      <c r="A39" s="7" t="s">
        <v>54</v>
      </c>
      <c r="B39" s="8">
        <v>46135</v>
      </c>
      <c r="C39" s="8">
        <v>46113</v>
      </c>
      <c r="D39" s="7" t="s">
        <v>9</v>
      </c>
      <c r="E39" s="7" t="s">
        <v>19</v>
      </c>
      <c r="F39" s="7">
        <v>1</v>
      </c>
      <c r="G39" s="9">
        <v>220</v>
      </c>
      <c r="H39" s="9">
        <f t="shared" si="2"/>
        <v>220</v>
      </c>
      <c r="I39" t="str">
        <f t="shared" si="1"/>
        <v>Low Sales</v>
      </c>
    </row>
    <row r="40" spans="1:9">
      <c r="A40" s="7" t="s">
        <v>55</v>
      </c>
      <c r="B40" s="8">
        <v>46137</v>
      </c>
      <c r="C40" s="8">
        <v>46113</v>
      </c>
      <c r="D40" s="7" t="s">
        <v>12</v>
      </c>
      <c r="E40" s="7" t="s">
        <v>21</v>
      </c>
      <c r="F40" s="7">
        <v>2</v>
      </c>
      <c r="G40" s="9">
        <v>65</v>
      </c>
      <c r="H40" s="9">
        <f t="shared" si="2"/>
        <v>130</v>
      </c>
      <c r="I40" t="str">
        <f t="shared" si="1"/>
        <v>Low Sales</v>
      </c>
    </row>
    <row r="41" spans="1:9">
      <c r="A41" s="7" t="s">
        <v>56</v>
      </c>
      <c r="B41" s="8">
        <v>46139</v>
      </c>
      <c r="C41" s="8">
        <v>46113</v>
      </c>
      <c r="D41" s="7" t="s">
        <v>15</v>
      </c>
      <c r="E41" s="7" t="s">
        <v>10</v>
      </c>
      <c r="F41" s="7">
        <v>3</v>
      </c>
      <c r="G41" s="9">
        <v>25</v>
      </c>
      <c r="H41" s="9">
        <f t="shared" si="2"/>
        <v>75</v>
      </c>
      <c r="I41" t="str">
        <f t="shared" si="1"/>
        <v>Low Sales</v>
      </c>
    </row>
    <row r="42" spans="1:9">
      <c r="A42" s="7" t="s">
        <v>57</v>
      </c>
      <c r="B42" s="8">
        <v>46144</v>
      </c>
      <c r="C42" s="8">
        <v>46143</v>
      </c>
      <c r="D42" s="7" t="s">
        <v>9</v>
      </c>
      <c r="E42" s="7" t="s">
        <v>19</v>
      </c>
      <c r="F42" s="7">
        <v>5</v>
      </c>
      <c r="G42" s="9">
        <v>220</v>
      </c>
      <c r="H42" s="9">
        <f t="shared" si="2"/>
        <v>1100</v>
      </c>
      <c r="I42" t="str">
        <f t="shared" si="1"/>
        <v>High Sales</v>
      </c>
    </row>
    <row r="43" spans="1:9">
      <c r="A43" s="7" t="s">
        <v>58</v>
      </c>
      <c r="B43" s="8">
        <v>46146</v>
      </c>
      <c r="C43" s="8">
        <v>46143</v>
      </c>
      <c r="D43" s="7" t="s">
        <v>12</v>
      </c>
      <c r="E43" s="7" t="s">
        <v>21</v>
      </c>
      <c r="F43" s="7">
        <v>6</v>
      </c>
      <c r="G43" s="9">
        <v>65</v>
      </c>
      <c r="H43" s="9">
        <f t="shared" si="2"/>
        <v>390</v>
      </c>
      <c r="I43" t="str">
        <f t="shared" si="1"/>
        <v>Low Sales</v>
      </c>
    </row>
    <row r="44" spans="1:9">
      <c r="A44" s="7" t="s">
        <v>59</v>
      </c>
      <c r="B44" s="8">
        <v>46148</v>
      </c>
      <c r="C44" s="8">
        <v>46143</v>
      </c>
      <c r="D44" s="7" t="s">
        <v>15</v>
      </c>
      <c r="E44" s="7" t="s">
        <v>10</v>
      </c>
      <c r="F44" s="7">
        <v>1</v>
      </c>
      <c r="G44" s="9">
        <v>25</v>
      </c>
      <c r="H44" s="9">
        <f t="shared" si="2"/>
        <v>25</v>
      </c>
      <c r="I44" t="str">
        <f t="shared" si="1"/>
        <v>Low Sales</v>
      </c>
    </row>
    <row r="45" spans="1:9">
      <c r="A45" s="7" t="s">
        <v>60</v>
      </c>
      <c r="B45" s="8">
        <v>46150</v>
      </c>
      <c r="C45" s="8">
        <v>46143</v>
      </c>
      <c r="D45" s="7" t="s">
        <v>18</v>
      </c>
      <c r="E45" s="7" t="s">
        <v>13</v>
      </c>
      <c r="F45" s="7">
        <v>2</v>
      </c>
      <c r="G45" s="9">
        <v>40</v>
      </c>
      <c r="H45" s="9">
        <f t="shared" si="2"/>
        <v>80</v>
      </c>
      <c r="I45" t="str">
        <f t="shared" si="1"/>
        <v>Low Sales</v>
      </c>
    </row>
    <row r="46" spans="1:9">
      <c r="A46" s="7" t="s">
        <v>61</v>
      </c>
      <c r="B46" s="8">
        <v>46152</v>
      </c>
      <c r="C46" s="8">
        <v>46143</v>
      </c>
      <c r="D46" s="7" t="s">
        <v>9</v>
      </c>
      <c r="E46" s="7" t="s">
        <v>16</v>
      </c>
      <c r="F46" s="7">
        <v>3</v>
      </c>
      <c r="G46" s="9">
        <v>850</v>
      </c>
      <c r="H46" s="9">
        <f t="shared" si="2"/>
        <v>2550</v>
      </c>
      <c r="I46" t="str">
        <f t="shared" si="1"/>
        <v>High Sales</v>
      </c>
    </row>
    <row r="47" spans="1:9">
      <c r="A47" s="7" t="s">
        <v>62</v>
      </c>
      <c r="B47" s="8">
        <v>46154</v>
      </c>
      <c r="C47" s="8">
        <v>46143</v>
      </c>
      <c r="D47" s="7" t="s">
        <v>12</v>
      </c>
      <c r="E47" s="7" t="s">
        <v>19</v>
      </c>
      <c r="F47" s="7">
        <v>4</v>
      </c>
      <c r="G47" s="9">
        <v>220</v>
      </c>
      <c r="H47" s="9">
        <f t="shared" si="2"/>
        <v>880</v>
      </c>
      <c r="I47" t="str">
        <f t="shared" si="1"/>
        <v>Low Sales</v>
      </c>
    </row>
    <row r="48" spans="1:9">
      <c r="A48" s="7" t="s">
        <v>63</v>
      </c>
      <c r="B48" s="8">
        <v>46156</v>
      </c>
      <c r="C48" s="8">
        <v>46143</v>
      </c>
      <c r="D48" s="7" t="s">
        <v>15</v>
      </c>
      <c r="E48" s="7" t="s">
        <v>21</v>
      </c>
      <c r="F48" s="7">
        <v>5</v>
      </c>
      <c r="G48" s="9">
        <v>65</v>
      </c>
      <c r="H48" s="9">
        <f t="shared" si="2"/>
        <v>325</v>
      </c>
      <c r="I48" t="str">
        <f t="shared" si="1"/>
        <v>Low Sales</v>
      </c>
    </row>
    <row r="49" spans="1:9">
      <c r="A49" s="7" t="s">
        <v>64</v>
      </c>
      <c r="B49" s="8">
        <v>46158</v>
      </c>
      <c r="C49" s="8">
        <v>46143</v>
      </c>
      <c r="D49" s="7" t="s">
        <v>18</v>
      </c>
      <c r="E49" s="7" t="s">
        <v>10</v>
      </c>
      <c r="F49" s="7">
        <v>6</v>
      </c>
      <c r="G49" s="9">
        <v>25</v>
      </c>
      <c r="H49" s="9">
        <f t="shared" si="2"/>
        <v>150</v>
      </c>
      <c r="I49" t="str">
        <f t="shared" si="1"/>
        <v>Low Sales</v>
      </c>
    </row>
    <row r="50" spans="1:9">
      <c r="A50" s="7" t="s">
        <v>65</v>
      </c>
      <c r="B50" s="8">
        <v>46160</v>
      </c>
      <c r="C50" s="8">
        <v>46143</v>
      </c>
      <c r="D50" s="7" t="s">
        <v>9</v>
      </c>
      <c r="E50" s="7" t="s">
        <v>13</v>
      </c>
      <c r="F50" s="7">
        <v>1</v>
      </c>
      <c r="G50" s="9">
        <v>40</v>
      </c>
      <c r="H50" s="9">
        <f t="shared" si="2"/>
        <v>40</v>
      </c>
      <c r="I50" t="str">
        <f t="shared" si="1"/>
        <v>Low Sales</v>
      </c>
    </row>
    <row r="51" spans="1:9">
      <c r="A51" s="7" t="s">
        <v>66</v>
      </c>
      <c r="B51" s="8">
        <v>46162</v>
      </c>
      <c r="C51" s="8">
        <v>46143</v>
      </c>
      <c r="D51" s="7" t="s">
        <v>12</v>
      </c>
      <c r="E51" s="7" t="s">
        <v>16</v>
      </c>
      <c r="F51" s="7">
        <v>2</v>
      </c>
      <c r="G51" s="9">
        <v>850</v>
      </c>
      <c r="H51" s="9">
        <f t="shared" si="2"/>
        <v>1700</v>
      </c>
      <c r="I51" t="str">
        <f t="shared" si="1"/>
        <v>High Sales</v>
      </c>
    </row>
    <row r="52" spans="1:9">
      <c r="A52" s="7" t="s">
        <v>67</v>
      </c>
      <c r="B52" s="8">
        <v>46195</v>
      </c>
      <c r="C52" s="8">
        <v>46174</v>
      </c>
      <c r="D52" s="7" t="s">
        <v>18</v>
      </c>
      <c r="E52" s="7" t="s">
        <v>10</v>
      </c>
      <c r="F52" s="7">
        <v>4</v>
      </c>
      <c r="G52" s="9">
        <v>25</v>
      </c>
      <c r="H52" s="9">
        <f t="shared" si="2"/>
        <v>100</v>
      </c>
      <c r="I52" t="str">
        <f t="shared" si="1"/>
        <v>Low Sales</v>
      </c>
    </row>
    <row r="53" spans="1:9">
      <c r="A53" s="7" t="s">
        <v>68</v>
      </c>
      <c r="B53" s="8">
        <v>46197</v>
      </c>
      <c r="C53" s="8">
        <v>46174</v>
      </c>
      <c r="D53" s="7" t="s">
        <v>9</v>
      </c>
      <c r="E53" s="7" t="s">
        <v>13</v>
      </c>
      <c r="F53" s="7">
        <v>5</v>
      </c>
      <c r="G53" s="9">
        <v>40</v>
      </c>
      <c r="H53" s="9">
        <f t="shared" si="2"/>
        <v>200</v>
      </c>
      <c r="I53" t="str">
        <f t="shared" si="1"/>
        <v>Low Sales</v>
      </c>
    </row>
    <row r="54" spans="1:9">
      <c r="A54" s="7" t="s">
        <v>69</v>
      </c>
      <c r="B54" s="8">
        <v>46199</v>
      </c>
      <c r="C54" s="8">
        <v>46174</v>
      </c>
      <c r="D54" s="7" t="s">
        <v>12</v>
      </c>
      <c r="E54" s="7" t="s">
        <v>16</v>
      </c>
      <c r="F54" s="7">
        <v>6</v>
      </c>
      <c r="G54" s="9">
        <v>850</v>
      </c>
      <c r="H54" s="9">
        <f t="shared" si="2"/>
        <v>5100</v>
      </c>
      <c r="I54" t="str">
        <f t="shared" si="1"/>
        <v>High Sales</v>
      </c>
    </row>
    <row r="55" spans="1:9">
      <c r="A55" s="7" t="s">
        <v>70</v>
      </c>
      <c r="B55" s="8">
        <v>46174</v>
      </c>
      <c r="C55" s="8">
        <v>46174</v>
      </c>
      <c r="D55" s="7" t="s">
        <v>15</v>
      </c>
      <c r="E55" s="7" t="s">
        <v>19</v>
      </c>
      <c r="F55" s="7">
        <v>1</v>
      </c>
      <c r="G55" s="9">
        <v>220</v>
      </c>
      <c r="H55" s="9">
        <f t="shared" si="2"/>
        <v>220</v>
      </c>
      <c r="I55" t="str">
        <f t="shared" si="1"/>
        <v>Low Sales</v>
      </c>
    </row>
    <row r="56" spans="1:9">
      <c r="A56" s="7" t="s">
        <v>71</v>
      </c>
      <c r="B56" s="8">
        <v>46176</v>
      </c>
      <c r="C56" s="8">
        <v>46174</v>
      </c>
      <c r="D56" s="7" t="s">
        <v>18</v>
      </c>
      <c r="E56" s="7" t="s">
        <v>21</v>
      </c>
      <c r="F56" s="7">
        <v>2</v>
      </c>
      <c r="G56" s="9">
        <v>65</v>
      </c>
      <c r="H56" s="9">
        <f t="shared" si="2"/>
        <v>130</v>
      </c>
      <c r="I56" t="str">
        <f t="shared" si="1"/>
        <v>Low Sales</v>
      </c>
    </row>
    <row r="57" spans="1:9">
      <c r="A57" s="7" t="s">
        <v>72</v>
      </c>
      <c r="B57" s="8">
        <v>46178</v>
      </c>
      <c r="C57" s="8">
        <v>46174</v>
      </c>
      <c r="D57" s="7" t="s">
        <v>9</v>
      </c>
      <c r="E57" s="7" t="s">
        <v>10</v>
      </c>
      <c r="F57" s="7">
        <v>3</v>
      </c>
      <c r="G57" s="9">
        <v>25</v>
      </c>
      <c r="H57" s="9">
        <f t="shared" si="2"/>
        <v>75</v>
      </c>
      <c r="I57" t="str">
        <f t="shared" si="1"/>
        <v>Low Sales</v>
      </c>
    </row>
    <row r="58" spans="1:9">
      <c r="A58" s="7" t="s">
        <v>73</v>
      </c>
      <c r="B58" s="8">
        <v>46180</v>
      </c>
      <c r="C58" s="8">
        <v>46174</v>
      </c>
      <c r="D58" s="7" t="s">
        <v>12</v>
      </c>
      <c r="E58" s="7" t="s">
        <v>13</v>
      </c>
      <c r="F58" s="7">
        <v>4</v>
      </c>
      <c r="G58" s="9">
        <v>40</v>
      </c>
      <c r="H58" s="9">
        <f t="shared" si="2"/>
        <v>160</v>
      </c>
      <c r="I58" t="str">
        <f t="shared" si="1"/>
        <v>Low Sales</v>
      </c>
    </row>
    <row r="59" spans="1:9">
      <c r="A59" s="7" t="s">
        <v>74</v>
      </c>
      <c r="B59" s="8">
        <v>46182</v>
      </c>
      <c r="C59" s="8">
        <v>46174</v>
      </c>
      <c r="D59" s="7" t="s">
        <v>15</v>
      </c>
      <c r="E59" s="7" t="s">
        <v>16</v>
      </c>
      <c r="F59" s="7">
        <v>5</v>
      </c>
      <c r="G59" s="9">
        <v>850</v>
      </c>
      <c r="H59" s="9">
        <f t="shared" si="2"/>
        <v>4250</v>
      </c>
      <c r="I59" t="str">
        <f t="shared" si="1"/>
        <v>High Sales</v>
      </c>
    </row>
    <row r="60" spans="1:9">
      <c r="A60" s="7" t="s">
        <v>75</v>
      </c>
      <c r="B60" s="8">
        <v>46184</v>
      </c>
      <c r="C60" s="8">
        <v>46174</v>
      </c>
      <c r="D60" s="7" t="s">
        <v>18</v>
      </c>
      <c r="E60" s="7" t="s">
        <v>19</v>
      </c>
      <c r="F60" s="7">
        <v>6</v>
      </c>
      <c r="G60" s="9">
        <v>220</v>
      </c>
      <c r="H60" s="9">
        <f t="shared" si="2"/>
        <v>1320</v>
      </c>
      <c r="I60" t="str">
        <f t="shared" si="1"/>
        <v>High Sales</v>
      </c>
    </row>
    <row r="61" spans="1:9">
      <c r="A61" s="7" t="s">
        <v>76</v>
      </c>
      <c r="B61" s="8">
        <v>46186</v>
      </c>
      <c r="C61" s="8">
        <v>46174</v>
      </c>
      <c r="D61" s="7" t="s">
        <v>9</v>
      </c>
      <c r="E61" s="7" t="s">
        <v>21</v>
      </c>
      <c r="F61" s="7">
        <v>1</v>
      </c>
      <c r="G61" s="9">
        <v>65</v>
      </c>
      <c r="H61" s="9">
        <f t="shared" si="2"/>
        <v>65</v>
      </c>
      <c r="I61" t="str">
        <f t="shared" si="1"/>
        <v>Low Sales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687DC-462D-43A2-A085-5535D602874A}">
  <dimension ref="A1:F118"/>
  <sheetViews>
    <sheetView topLeftCell="A106" workbookViewId="0">
      <selection activeCell="N55" sqref="N55"/>
    </sheetView>
  </sheetViews>
  <sheetFormatPr defaultRowHeight="13.8"/>
  <cols>
    <col min="1" max="1" width="17.8984375" bestFit="1" customWidth="1"/>
    <col min="16" max="16" width="8.5" bestFit="1" customWidth="1"/>
  </cols>
  <sheetData>
    <row r="1" spans="1:6">
      <c r="A1" s="10" t="s">
        <v>116</v>
      </c>
      <c r="B1" s="10"/>
      <c r="C1" s="10"/>
      <c r="D1" s="10"/>
      <c r="E1" s="10"/>
      <c r="F1" s="10"/>
    </row>
    <row r="2" spans="1:6">
      <c r="A2" t="s">
        <v>117</v>
      </c>
      <c r="B2">
        <f>SUM('Sales Data'!H2:H61)</f>
        <v>50770</v>
      </c>
    </row>
    <row r="5" spans="1:6">
      <c r="A5" s="10" t="s">
        <v>118</v>
      </c>
      <c r="B5" s="10"/>
      <c r="C5" s="10"/>
      <c r="D5" s="10"/>
      <c r="E5" s="10"/>
    </row>
    <row r="6" spans="1:6">
      <c r="A6" t="s">
        <v>119</v>
      </c>
      <c r="B6">
        <f>COUNT('Sales Data'!H2:H61)</f>
        <v>60</v>
      </c>
    </row>
    <row r="9" spans="1:6">
      <c r="A9" s="10" t="s">
        <v>120</v>
      </c>
      <c r="B9" s="10"/>
      <c r="C9" s="10"/>
      <c r="D9" s="10"/>
      <c r="E9" s="10"/>
      <c r="F9" s="10"/>
    </row>
    <row r="11" spans="1:6">
      <c r="A11" t="s">
        <v>121</v>
      </c>
      <c r="B11">
        <f>SUM('Sales Data'!F2:F61)</f>
        <v>210</v>
      </c>
    </row>
    <row r="14" spans="1:6">
      <c r="A14" s="10" t="s">
        <v>122</v>
      </c>
      <c r="B14" s="10"/>
      <c r="C14" s="10"/>
      <c r="D14" s="10"/>
      <c r="E14" s="10"/>
      <c r="F14" s="10"/>
    </row>
    <row r="16" spans="1:6">
      <c r="A16" s="11" t="s">
        <v>123</v>
      </c>
      <c r="B16">
        <f>AVERAGE('Sales Data'!H2:H61)</f>
        <v>846.16666666666663</v>
      </c>
    </row>
    <row r="19" spans="1:6">
      <c r="A19" s="10" t="s">
        <v>124</v>
      </c>
      <c r="B19" s="10"/>
      <c r="C19" s="10"/>
      <c r="D19" s="10"/>
      <c r="E19" s="10"/>
      <c r="F19" s="10"/>
    </row>
    <row r="21" spans="1:6">
      <c r="A21" t="s">
        <v>125</v>
      </c>
      <c r="B21">
        <f>MAX('Sales Data'!H2:H61)</f>
        <v>5100</v>
      </c>
    </row>
    <row r="24" spans="1:6">
      <c r="A24" s="10" t="s">
        <v>126</v>
      </c>
      <c r="B24" s="10"/>
      <c r="C24" s="10"/>
      <c r="D24" s="10"/>
      <c r="E24" s="10"/>
      <c r="F24" s="10"/>
    </row>
    <row r="26" spans="1:6">
      <c r="A26" t="s">
        <v>127</v>
      </c>
      <c r="B26">
        <f>MIN('Sales Data'!H2:H61)</f>
        <v>25</v>
      </c>
    </row>
    <row r="29" spans="1:6">
      <c r="A29" s="10" t="s">
        <v>128</v>
      </c>
      <c r="B29" s="10"/>
      <c r="C29" s="10"/>
      <c r="D29" s="10"/>
      <c r="E29" s="10"/>
      <c r="F29" s="10"/>
    </row>
    <row r="31" spans="1:6">
      <c r="A31" t="s">
        <v>129</v>
      </c>
      <c r="B31">
        <f>SUMIF('Sales Data'!D2:D61,"London", 'Sales Data'!H2:H61)</f>
        <v>15400</v>
      </c>
    </row>
    <row r="34" spans="1:6">
      <c r="A34" s="10" t="s">
        <v>130</v>
      </c>
      <c r="B34" s="10"/>
      <c r="C34" s="10"/>
      <c r="D34" s="10"/>
      <c r="E34" s="10"/>
      <c r="F34" s="10"/>
    </row>
    <row r="36" spans="1:6">
      <c r="A36" s="11" t="s">
        <v>131</v>
      </c>
      <c r="B36">
        <f>COUNTIF('Sales Data'!D2:D61,"London")</f>
        <v>15</v>
      </c>
    </row>
    <row r="39" spans="1:6">
      <c r="A39" s="10" t="s">
        <v>132</v>
      </c>
      <c r="B39" s="10"/>
      <c r="C39" s="10"/>
      <c r="D39" s="10"/>
      <c r="E39" s="10"/>
      <c r="F39" s="10"/>
    </row>
    <row r="41" spans="1:6">
      <c r="A41" t="s">
        <v>133</v>
      </c>
      <c r="B41">
        <f>AVERAGEIF('Sales Data'!D2:D61,"London",'Sales Data'!H2:H61)</f>
        <v>1026.6666666666667</v>
      </c>
    </row>
    <row r="44" spans="1:6">
      <c r="A44" s="10" t="s">
        <v>134</v>
      </c>
      <c r="B44" s="10"/>
      <c r="C44" s="10"/>
      <c r="D44" s="10"/>
      <c r="E44" s="10"/>
      <c r="F44" s="10"/>
    </row>
    <row r="46" spans="1:6">
      <c r="A46" t="s">
        <v>135</v>
      </c>
      <c r="B46">
        <f>SUMIF('Sales Data'!E2:E61,"Laptop",'Sales Data'!H2:H61)</f>
        <v>35700</v>
      </c>
    </row>
    <row r="48" spans="1:6">
      <c r="A48" s="10" t="s">
        <v>136</v>
      </c>
      <c r="B48" s="10"/>
      <c r="C48" s="10"/>
      <c r="D48" s="10"/>
      <c r="E48" s="10"/>
      <c r="F48" s="10"/>
    </row>
    <row r="50" spans="1:5">
      <c r="A50" t="s">
        <v>137</v>
      </c>
      <c r="B50">
        <f>COUNTIF('Sales Data'!E2:E61,"Laptop")</f>
        <v>12</v>
      </c>
    </row>
    <row r="54" spans="1:5">
      <c r="A54" s="10" t="s">
        <v>138</v>
      </c>
      <c r="B54" s="10"/>
      <c r="C54" s="10"/>
      <c r="D54" s="10"/>
      <c r="E54" s="10"/>
    </row>
    <row r="56" spans="1:5">
      <c r="A56" s="11" t="s">
        <v>139</v>
      </c>
      <c r="B56">
        <f>SUMIF('Sales Data'!E2:E61,"Laptop",'Sales Data'!F2:F61)</f>
        <v>42</v>
      </c>
    </row>
    <row r="59" spans="1:5">
      <c r="A59" s="10" t="s">
        <v>140</v>
      </c>
      <c r="B59" s="10"/>
      <c r="C59" s="10"/>
      <c r="D59" s="10"/>
    </row>
    <row r="61" spans="1:5" ht="41.4">
      <c r="B61" s="14" t="s">
        <v>4</v>
      </c>
      <c r="C61" s="14" t="s">
        <v>141</v>
      </c>
      <c r="D61" s="14" t="s">
        <v>142</v>
      </c>
      <c r="E61" s="14" t="s">
        <v>143</v>
      </c>
    </row>
    <row r="62" spans="1:5">
      <c r="B62" s="7" t="s">
        <v>16</v>
      </c>
      <c r="C62" s="15">
        <f>SUMIF('Sales Data'!$E$2:$E$61,B62,'Sales Data'!$H$2:$H$61)</f>
        <v>35700</v>
      </c>
      <c r="D62" s="15">
        <f>COUNTIF('Sales Data'!$E$2:$E$61,retail_sales_project!B62)</f>
        <v>12</v>
      </c>
      <c r="E62" s="15">
        <f>SUMIF('Sales Data'!$E$2:$E$61,retail_sales_project!B62,'Sales Data'!F2:F61)</f>
        <v>42</v>
      </c>
    </row>
    <row r="63" spans="1:5">
      <c r="B63" s="7" t="s">
        <v>10</v>
      </c>
      <c r="C63" s="15">
        <f>SUMIF('Sales Data'!$E$2:$E$61,B63,'Sales Data'!$H$2:$H$61)</f>
        <v>950</v>
      </c>
      <c r="D63" s="15">
        <f>COUNTIF('Sales Data'!$E$2:$E$61,retail_sales_project!B63)</f>
        <v>12</v>
      </c>
      <c r="E63" s="15">
        <f>SUMIF('Sales Data'!$E$2:$E$61,retail_sales_project!B63,'Sales Data'!F3:F62)</f>
        <v>45</v>
      </c>
    </row>
    <row r="64" spans="1:5">
      <c r="B64" s="7" t="s">
        <v>13</v>
      </c>
      <c r="C64" s="15">
        <f>SUMIF('Sales Data'!$E$2:$E$61,B64,'Sales Data'!$H$2:$H$61)</f>
        <v>1840</v>
      </c>
      <c r="D64" s="15">
        <f>COUNTIF('Sales Data'!$E$2:$E$61,retail_sales_project!B64)</f>
        <v>12</v>
      </c>
      <c r="E64" s="15">
        <f>SUMIF('Sales Data'!$E$2:$E$61,retail_sales_project!B64,'Sales Data'!F4:F63)</f>
        <v>42</v>
      </c>
    </row>
    <row r="65" spans="1:5">
      <c r="B65" s="7" t="s">
        <v>19</v>
      </c>
      <c r="C65" s="15">
        <f>SUMIF('Sales Data'!$E$2:$E$61,B65,'Sales Data'!$H$2:$H$61)</f>
        <v>9680</v>
      </c>
      <c r="D65" s="15">
        <f>COUNTIF('Sales Data'!$E$2:$E$61,retail_sales_project!B65)</f>
        <v>12</v>
      </c>
      <c r="E65" s="15">
        <f>SUMIF('Sales Data'!$E$2:$E$61,retail_sales_project!B65,'Sales Data'!F5:F64)</f>
        <v>38</v>
      </c>
    </row>
    <row r="66" spans="1:5">
      <c r="B66" s="7" t="s">
        <v>21</v>
      </c>
      <c r="C66" s="15">
        <f>SUMIF('Sales Data'!$E$2:$E$61,B66,'Sales Data'!$H$2:$H$61)</f>
        <v>2600</v>
      </c>
      <c r="D66" s="15">
        <f>COUNTIF('Sales Data'!$E$2:$E$61,retail_sales_project!B66)</f>
        <v>12</v>
      </c>
      <c r="E66" s="15">
        <f>SUMIF('Sales Data'!$E$2:$E$61,retail_sales_project!B66,'Sales Data'!F6:F65)</f>
        <v>39</v>
      </c>
    </row>
    <row r="70" spans="1:5">
      <c r="A70" s="10" t="s">
        <v>144</v>
      </c>
      <c r="B70" s="10"/>
      <c r="C70" s="10"/>
      <c r="D70" s="10"/>
      <c r="E70" s="10"/>
    </row>
    <row r="72" spans="1:5">
      <c r="A72" t="s">
        <v>145</v>
      </c>
      <c r="B72">
        <f>SUMIFS('Sales Data'!H2:H61,'Sales Data'!D2:D61,"London",'Sales Data'!E2:E61,"Laptop")</f>
        <v>10200</v>
      </c>
    </row>
    <row r="75" spans="1:5">
      <c r="A75" s="16" t="s">
        <v>146</v>
      </c>
    </row>
    <row r="77" spans="1:5">
      <c r="A77" t="s">
        <v>147</v>
      </c>
      <c r="B77" s="7" t="s">
        <v>64</v>
      </c>
      <c r="C77">
        <f>_xlfn.XLOOKUP(B77,'Sales Data'!A2:A61,'Sales Data'!H2:H61,"Not Found")</f>
        <v>150</v>
      </c>
    </row>
    <row r="78" spans="1:5">
      <c r="B78" s="7" t="s">
        <v>73</v>
      </c>
      <c r="C78">
        <f>_xlfn.XLOOKUP(B78,'Sales Data'!A2:A61,'Sales Data'!H2:H61,"Not Found")</f>
        <v>160</v>
      </c>
    </row>
    <row r="79" spans="1:5">
      <c r="B79" s="7" t="s">
        <v>68</v>
      </c>
      <c r="C79">
        <f>_xlfn.XLOOKUP(B79,'Sales Data'!A3:A62,'Sales Data'!H3:H62,"Not Found")</f>
        <v>200</v>
      </c>
    </row>
    <row r="83" spans="1:3">
      <c r="A83" s="10" t="s">
        <v>148</v>
      </c>
      <c r="B83" s="10"/>
      <c r="C83" s="10"/>
    </row>
    <row r="85" spans="1:3">
      <c r="A85" t="s">
        <v>149</v>
      </c>
      <c r="B85" s="7" t="s">
        <v>68</v>
      </c>
      <c r="C85" t="str">
        <f>_xlfn.XLOOKUP(B85,'Sales Data'!A2:A61,'Sales Data'!E2:E61,"Not Found")</f>
        <v>Keyboard</v>
      </c>
    </row>
    <row r="86" spans="1:3">
      <c r="B86" s="7" t="s">
        <v>76</v>
      </c>
      <c r="C86" t="str">
        <f>_xlfn.XLOOKUP(B86,'Sales Data'!A2:A61,'Sales Data'!E2:E61,"Not Found")</f>
        <v>Headphones</v>
      </c>
    </row>
    <row r="88" spans="1:3">
      <c r="A88" s="10" t="s">
        <v>150</v>
      </c>
      <c r="B88" s="10"/>
      <c r="C88" s="10"/>
    </row>
    <row r="90" spans="1:3">
      <c r="A90" t="s">
        <v>151</v>
      </c>
      <c r="B90" s="7" t="s">
        <v>53</v>
      </c>
      <c r="C90" t="str">
        <f>_xlfn.XLOOKUP(B90,'Sales Data'!A2:A61,'Sales Data'!D2:D61,"Not Found")</f>
        <v>London</v>
      </c>
    </row>
    <row r="93" spans="1:3">
      <c r="A93" s="10" t="s">
        <v>152</v>
      </c>
      <c r="B93" s="10"/>
      <c r="C93" s="10"/>
    </row>
    <row r="95" spans="1:3">
      <c r="A95" s="7" t="s">
        <v>153</v>
      </c>
      <c r="B95" s="7" t="s">
        <v>53</v>
      </c>
      <c r="C95" s="7">
        <f>_xlfn.XLOOKUP(B95,'Sales Data'!A2:A61,'Sales Data'!F2:F61,"Not Found")</f>
        <v>6</v>
      </c>
    </row>
    <row r="98" spans="1:3">
      <c r="A98" s="17" t="s">
        <v>154</v>
      </c>
      <c r="B98" s="17"/>
      <c r="C98" s="17"/>
    </row>
    <row r="100" spans="1:3">
      <c r="A100" t="s">
        <v>145</v>
      </c>
      <c r="C100">
        <f>SUMIFS('Sales Data'!$H$2:$H$61,'Sales Data'!$D$2:$D$61,"London",'Sales Data'!$E$2:$E$61,"Laptop")</f>
        <v>10200</v>
      </c>
    </row>
    <row r="103" spans="1:3">
      <c r="A103" s="10" t="s">
        <v>165</v>
      </c>
      <c r="B103" s="10"/>
      <c r="C103" s="10"/>
    </row>
    <row r="106" spans="1:3">
      <c r="A106" t="s">
        <v>166</v>
      </c>
      <c r="C106">
        <f>SUMIFS('Sales Data'!$H$2:$H$61,'Sales Data'!$D$2:$D$61,"London",'Sales Data'!$E$2:$E$61,"Laptop",'Sales Data'!$C$2:$C$61,"June")</f>
        <v>0</v>
      </c>
    </row>
    <row r="108" spans="1:3">
      <c r="A108" s="16" t="s">
        <v>167</v>
      </c>
      <c r="B108" s="16"/>
      <c r="C108">
        <f>SUMIFS('Sales Data'!$H$2:$H$61,'Sales Data'!$E$2:$E$61,"Laptop",'Sales Data'!$D$2:$D$61,"Bristol",'Sales Data'!$C$2:$C$61,DATE(2026,6,1))</f>
        <v>5100</v>
      </c>
    </row>
    <row r="112" spans="1:3">
      <c r="A112" s="16" t="s">
        <v>168</v>
      </c>
    </row>
    <row r="114" spans="1:4">
      <c r="A114" s="5" t="s">
        <v>170</v>
      </c>
      <c r="B114" s="5"/>
      <c r="C114" s="5"/>
      <c r="D114">
        <f>COUNTIF('Sales Data'!I2:I61,"High Sales")</f>
        <v>15</v>
      </c>
    </row>
    <row r="115" spans="1:4">
      <c r="A115" t="s">
        <v>171</v>
      </c>
      <c r="D115">
        <f>COUNTIF('Sales Data'!I2:I61,"Low Sale")</f>
        <v>0</v>
      </c>
    </row>
    <row r="118" spans="1:4">
      <c r="A118" s="5" t="s">
        <v>172</v>
      </c>
      <c r="B118" s="5"/>
      <c r="C118" s="5"/>
    </row>
  </sheetData>
  <mergeCells count="21">
    <mergeCell ref="A103:C103"/>
    <mergeCell ref="A114:C114"/>
    <mergeCell ref="A118:C118"/>
    <mergeCell ref="A59:D59"/>
    <mergeCell ref="A70:E70"/>
    <mergeCell ref="A83:C83"/>
    <mergeCell ref="A88:C88"/>
    <mergeCell ref="A93:C93"/>
    <mergeCell ref="A98:C98"/>
    <mergeCell ref="A29:F29"/>
    <mergeCell ref="A34:F34"/>
    <mergeCell ref="A39:F39"/>
    <mergeCell ref="A44:F44"/>
    <mergeCell ref="A48:F48"/>
    <mergeCell ref="A54:E54"/>
    <mergeCell ref="A1:F1"/>
    <mergeCell ref="A5:E5"/>
    <mergeCell ref="A9:F9"/>
    <mergeCell ref="A14:F14"/>
    <mergeCell ref="A19:F19"/>
    <mergeCell ref="A24:F2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1354-DBC4-464A-AEA8-95AB6ACB7A8F}">
  <dimension ref="A1:B5"/>
  <sheetViews>
    <sheetView topLeftCell="A4" workbookViewId="0">
      <selection activeCell="J9" sqref="J9"/>
    </sheetView>
  </sheetViews>
  <sheetFormatPr defaultRowHeight="13.8"/>
  <cols>
    <col min="1" max="1" width="11.8984375" customWidth="1"/>
    <col min="2" max="2" width="14.8984375" customWidth="1"/>
  </cols>
  <sheetData>
    <row r="1" spans="1:2" ht="27.6">
      <c r="A1" s="12" t="s">
        <v>155</v>
      </c>
      <c r="B1" s="12" t="s">
        <v>156</v>
      </c>
    </row>
    <row r="2" spans="1:2" ht="31.8" customHeight="1">
      <c r="A2" s="13" t="s">
        <v>157</v>
      </c>
      <c r="B2" s="13" t="s">
        <v>158</v>
      </c>
    </row>
    <row r="3" spans="1:2" ht="61.8" customHeight="1">
      <c r="A3" s="13" t="s">
        <v>159</v>
      </c>
      <c r="B3" s="13" t="s">
        <v>160</v>
      </c>
    </row>
    <row r="4" spans="1:2" ht="55.8" customHeight="1">
      <c r="A4" s="13" t="s">
        <v>161</v>
      </c>
      <c r="B4" s="13" t="s">
        <v>162</v>
      </c>
    </row>
    <row r="5" spans="1:2" ht="46.2" customHeight="1">
      <c r="A5" s="13" t="s">
        <v>163</v>
      </c>
      <c r="B5" s="13" t="s">
        <v>164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sheetViews>
  <sheetFormatPr defaultRowHeight="13.8"/>
  <cols>
    <col min="1" max="1" width="26" customWidth="1"/>
    <col min="2" max="2" width="20" customWidth="1"/>
    <col min="4" max="4" width="26" customWidth="1"/>
    <col min="5" max="5" width="20" customWidth="1"/>
  </cols>
  <sheetData>
    <row r="1" spans="1:5" ht="20.85" customHeight="1">
      <c r="A1" s="2" t="s">
        <v>77</v>
      </c>
      <c r="B1" s="2" t="s">
        <v>78</v>
      </c>
      <c r="D1" s="2" t="s">
        <v>4</v>
      </c>
      <c r="E1" s="2" t="s">
        <v>7</v>
      </c>
    </row>
    <row r="2" spans="1:5">
      <c r="A2" t="s">
        <v>79</v>
      </c>
      <c r="B2" s="1">
        <f>SUM('Sales Data'!H2:H61)</f>
        <v>50770</v>
      </c>
      <c r="D2" t="s">
        <v>16</v>
      </c>
      <c r="E2" s="1">
        <f>SUMIF('Sales Data'!E$2:E$61,D2,'Sales Data'!H$2:H$61)</f>
        <v>35700</v>
      </c>
    </row>
    <row r="3" spans="1:5">
      <c r="A3" t="s">
        <v>80</v>
      </c>
      <c r="B3">
        <f>COUNTA('Sales Data'!A2:A61)</f>
        <v>60</v>
      </c>
      <c r="D3" t="s">
        <v>21</v>
      </c>
      <c r="E3" s="1">
        <f>SUMIF('Sales Data'!E$2:E$61,D3,'Sales Data'!H$2:H$61)</f>
        <v>2600</v>
      </c>
    </row>
    <row r="4" spans="1:5">
      <c r="A4" t="s">
        <v>81</v>
      </c>
      <c r="B4">
        <f>SUM('Sales Data'!F2:F61)</f>
        <v>210</v>
      </c>
      <c r="D4" t="s">
        <v>13</v>
      </c>
      <c r="E4" s="1">
        <f>SUMIF('Sales Data'!E$2:E$61,D4,'Sales Data'!H$2:H$61)</f>
        <v>1840</v>
      </c>
    </row>
    <row r="5" spans="1:5">
      <c r="A5" t="s">
        <v>82</v>
      </c>
      <c r="B5" s="1">
        <f>B2/B3</f>
        <v>846.16666666666663</v>
      </c>
      <c r="D5" t="s">
        <v>19</v>
      </c>
      <c r="E5" s="1">
        <f>SUMIF('Sales Data'!E$2:E$61,D5,'Sales Data'!H$2:H$61)</f>
        <v>9680</v>
      </c>
    </row>
    <row r="6" spans="1:5">
      <c r="A6" t="s">
        <v>83</v>
      </c>
      <c r="B6" s="1">
        <f>MAX('Sales Data'!H2:H61)</f>
        <v>5100</v>
      </c>
      <c r="D6" t="s">
        <v>10</v>
      </c>
      <c r="E6" s="1">
        <f>SUMIF('Sales Data'!E$2:E$61,D6,'Sales Data'!H$2:H$61)</f>
        <v>950</v>
      </c>
    </row>
    <row r="9" spans="1:5" ht="20.85" customHeight="1">
      <c r="A9" s="2" t="s">
        <v>2</v>
      </c>
      <c r="B9" s="2" t="s">
        <v>7</v>
      </c>
    </row>
    <row r="10" spans="1:5">
      <c r="A10" s="3">
        <v>46023</v>
      </c>
      <c r="B10" s="1">
        <f>SUMIF('Sales Data'!C$2:C$61,A10,'Sales Data'!H$2:H$61)</f>
        <v>10930</v>
      </c>
    </row>
    <row r="11" spans="1:5">
      <c r="A11" s="3">
        <v>46054</v>
      </c>
      <c r="B11" s="1">
        <f>SUMIF('Sales Data'!C$2:C$61,A11,'Sales Data'!H$2:H$61)</f>
        <v>4770</v>
      </c>
    </row>
    <row r="12" spans="1:5">
      <c r="A12" s="3">
        <v>46082</v>
      </c>
      <c r="B12" s="1">
        <f>SUMIF('Sales Data'!C$2:C$61,A12,'Sales Data'!H$2:H$61)</f>
        <v>8660</v>
      </c>
    </row>
    <row r="13" spans="1:5">
      <c r="A13" s="3">
        <v>46113</v>
      </c>
      <c r="B13" s="1">
        <f>SUMIF('Sales Data'!C$2:C$61,A13,'Sales Data'!H$2:H$61)</f>
        <v>7550</v>
      </c>
    </row>
    <row r="14" spans="1:5">
      <c r="A14" s="3">
        <v>46143</v>
      </c>
      <c r="B14" s="1">
        <f>SUMIF('Sales Data'!C$2:C$61,A14,'Sales Data'!H$2:H$61)</f>
        <v>7240</v>
      </c>
    </row>
    <row r="15" spans="1:5">
      <c r="A15" s="3">
        <v>46174</v>
      </c>
      <c r="B15" s="1">
        <f>SUMIF('Sales Data'!C$2:C$61,A15,'Sales Data'!H$2:H$61)</f>
        <v>11620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pane ySplit="1" topLeftCell="A2" activePane="bottomLeft" state="frozen"/>
      <selection pane="bottomLeft"/>
    </sheetView>
  </sheetViews>
  <sheetFormatPr defaultRowHeight="13.8"/>
  <cols>
    <col min="1" max="1" width="10" customWidth="1"/>
    <col min="2" max="2" width="25" customWidth="1"/>
    <col min="3" max="3" width="105" customWidth="1"/>
    <col min="4" max="4" width="55" customWidth="1"/>
  </cols>
  <sheetData>
    <row r="1" spans="1:4" ht="28.05" customHeight="1">
      <c r="A1" s="2" t="s">
        <v>84</v>
      </c>
      <c r="B1" s="2" t="s">
        <v>85</v>
      </c>
      <c r="C1" s="2" t="s">
        <v>86</v>
      </c>
      <c r="D1" s="2" t="s">
        <v>87</v>
      </c>
    </row>
    <row r="2" spans="1:4" ht="84" customHeight="1">
      <c r="A2" t="s">
        <v>88</v>
      </c>
      <c r="B2" s="4" t="s">
        <v>89</v>
      </c>
      <c r="C2" s="4" t="s">
        <v>90</v>
      </c>
      <c r="D2" s="4" t="s">
        <v>91</v>
      </c>
    </row>
    <row r="3" spans="1:4" ht="84" customHeight="1">
      <c r="A3" t="s">
        <v>92</v>
      </c>
      <c r="B3" s="4" t="s">
        <v>93</v>
      </c>
      <c r="C3" s="4" t="s">
        <v>94</v>
      </c>
      <c r="D3" s="4" t="s">
        <v>95</v>
      </c>
    </row>
    <row r="4" spans="1:4" ht="84" customHeight="1">
      <c r="A4" t="s">
        <v>96</v>
      </c>
      <c r="B4" s="4" t="s">
        <v>97</v>
      </c>
      <c r="C4" s="4" t="s">
        <v>98</v>
      </c>
      <c r="D4" s="4" t="s">
        <v>99</v>
      </c>
    </row>
    <row r="5" spans="1:4" ht="84" customHeight="1">
      <c r="A5" t="s">
        <v>100</v>
      </c>
      <c r="B5" s="4" t="s">
        <v>101</v>
      </c>
      <c r="C5" s="4" t="s">
        <v>102</v>
      </c>
      <c r="D5" s="4" t="s">
        <v>103</v>
      </c>
    </row>
    <row r="6" spans="1:4" ht="84" customHeight="1">
      <c r="A6" t="s">
        <v>104</v>
      </c>
      <c r="B6" s="4" t="s">
        <v>105</v>
      </c>
      <c r="C6" s="4" t="s">
        <v>106</v>
      </c>
      <c r="D6" s="4" t="s">
        <v>107</v>
      </c>
    </row>
    <row r="7" spans="1:4" ht="84" customHeight="1">
      <c r="A7" t="s">
        <v>108</v>
      </c>
      <c r="B7" s="4" t="s">
        <v>109</v>
      </c>
      <c r="C7" s="4" t="s">
        <v>110</v>
      </c>
      <c r="D7" s="4" t="s">
        <v>111</v>
      </c>
    </row>
    <row r="8" spans="1:4" ht="84" customHeight="1">
      <c r="A8" t="s">
        <v>112</v>
      </c>
      <c r="B8" s="4" t="s">
        <v>113</v>
      </c>
      <c r="C8" s="4" t="s">
        <v>114</v>
      </c>
      <c r="D8" s="4" t="s">
        <v>115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5B840-3DE5-4C7E-BF20-4647564F5AAE}">
  <dimension ref="A1:H63"/>
  <sheetViews>
    <sheetView workbookViewId="0">
      <selection activeCell="A3" sqref="A3:H63"/>
    </sheetView>
  </sheetViews>
  <sheetFormatPr defaultRowHeight="13.8"/>
  <cols>
    <col min="1" max="2" width="11.296875" bestFit="1" customWidth="1"/>
  </cols>
  <sheetData>
    <row r="1" spans="1:8">
      <c r="A1" s="10" t="s">
        <v>173</v>
      </c>
      <c r="B1" s="10"/>
      <c r="C1" s="10"/>
    </row>
    <row r="3" spans="1:8">
      <c r="A3" s="6" t="s">
        <v>1</v>
      </c>
      <c r="B3" s="6" t="s">
        <v>2</v>
      </c>
      <c r="C3" s="6" t="s">
        <v>3</v>
      </c>
      <c r="D3" s="6" t="s">
        <v>4</v>
      </c>
      <c r="E3" s="6" t="s">
        <v>5</v>
      </c>
      <c r="F3" s="6" t="s">
        <v>6</v>
      </c>
      <c r="G3" s="6" t="s">
        <v>7</v>
      </c>
      <c r="H3" s="6" t="s">
        <v>169</v>
      </c>
    </row>
    <row r="4" spans="1:8">
      <c r="A4" s="8">
        <v>46025</v>
      </c>
      <c r="B4" s="8">
        <v>46023</v>
      </c>
      <c r="C4" s="7" t="s">
        <v>9</v>
      </c>
      <c r="D4" s="7" t="s">
        <v>10</v>
      </c>
      <c r="E4" s="7">
        <v>3</v>
      </c>
      <c r="F4" s="9">
        <v>25</v>
      </c>
      <c r="G4" s="9">
        <f t="shared" ref="G4:G63" si="0">E4*F4</f>
        <v>75</v>
      </c>
      <c r="H4" s="7" t="str">
        <f>IF(G4&gt;=1000,"High Sales","Low Sales")</f>
        <v>Low Sales</v>
      </c>
    </row>
    <row r="5" spans="1:8">
      <c r="A5" s="8">
        <v>46027</v>
      </c>
      <c r="B5" s="8">
        <v>46023</v>
      </c>
      <c r="C5" s="7" t="s">
        <v>12</v>
      </c>
      <c r="D5" s="7" t="s">
        <v>13</v>
      </c>
      <c r="E5" s="7">
        <v>4</v>
      </c>
      <c r="F5" s="9">
        <v>40</v>
      </c>
      <c r="G5" s="9">
        <f t="shared" si="0"/>
        <v>160</v>
      </c>
      <c r="H5" s="7" t="str">
        <f t="shared" ref="H5:H63" si="1">IF(G5&gt;=1000,"High Sales","Low Sales")</f>
        <v>Low Sales</v>
      </c>
    </row>
    <row r="6" spans="1:8">
      <c r="A6" s="8">
        <v>46029</v>
      </c>
      <c r="B6" s="8">
        <v>46023</v>
      </c>
      <c r="C6" s="7" t="s">
        <v>15</v>
      </c>
      <c r="D6" s="7" t="s">
        <v>16</v>
      </c>
      <c r="E6" s="7">
        <v>5</v>
      </c>
      <c r="F6" s="9">
        <v>850</v>
      </c>
      <c r="G6" s="9">
        <f t="shared" si="0"/>
        <v>4250</v>
      </c>
      <c r="H6" s="7" t="str">
        <f t="shared" si="1"/>
        <v>High Sales</v>
      </c>
    </row>
    <row r="7" spans="1:8">
      <c r="A7" s="8">
        <v>46031</v>
      </c>
      <c r="B7" s="8">
        <v>46023</v>
      </c>
      <c r="C7" s="7" t="s">
        <v>18</v>
      </c>
      <c r="D7" s="7" t="s">
        <v>19</v>
      </c>
      <c r="E7" s="7">
        <v>6</v>
      </c>
      <c r="F7" s="9">
        <v>220</v>
      </c>
      <c r="G7" s="9">
        <f t="shared" si="0"/>
        <v>1320</v>
      </c>
      <c r="H7" s="7" t="str">
        <f t="shared" si="1"/>
        <v>High Sales</v>
      </c>
    </row>
    <row r="8" spans="1:8">
      <c r="A8" s="8">
        <v>46033</v>
      </c>
      <c r="B8" s="8">
        <v>46023</v>
      </c>
      <c r="C8" s="7" t="s">
        <v>9</v>
      </c>
      <c r="D8" s="7" t="s">
        <v>21</v>
      </c>
      <c r="E8" s="7">
        <v>1</v>
      </c>
      <c r="F8" s="9">
        <v>65</v>
      </c>
      <c r="G8" s="9">
        <f t="shared" si="0"/>
        <v>65</v>
      </c>
      <c r="H8" s="7" t="str">
        <f t="shared" si="1"/>
        <v>Low Sales</v>
      </c>
    </row>
    <row r="9" spans="1:8">
      <c r="A9" s="8">
        <v>46035</v>
      </c>
      <c r="B9" s="8">
        <v>46023</v>
      </c>
      <c r="C9" s="7" t="s">
        <v>12</v>
      </c>
      <c r="D9" s="7" t="s">
        <v>10</v>
      </c>
      <c r="E9" s="7">
        <v>2</v>
      </c>
      <c r="F9" s="9">
        <v>25</v>
      </c>
      <c r="G9" s="9">
        <f t="shared" si="0"/>
        <v>50</v>
      </c>
      <c r="H9" s="7" t="str">
        <f t="shared" si="1"/>
        <v>Low Sales</v>
      </c>
    </row>
    <row r="10" spans="1:8">
      <c r="A10" s="8">
        <v>46037</v>
      </c>
      <c r="B10" s="8">
        <v>46023</v>
      </c>
      <c r="C10" s="7" t="s">
        <v>15</v>
      </c>
      <c r="D10" s="7" t="s">
        <v>13</v>
      </c>
      <c r="E10" s="7">
        <v>3</v>
      </c>
      <c r="F10" s="9">
        <v>40</v>
      </c>
      <c r="G10" s="9">
        <f t="shared" si="0"/>
        <v>120</v>
      </c>
      <c r="H10" s="7" t="str">
        <f t="shared" si="1"/>
        <v>Low Sales</v>
      </c>
    </row>
    <row r="11" spans="1:8">
      <c r="A11" s="8">
        <v>46039</v>
      </c>
      <c r="B11" s="8">
        <v>46023</v>
      </c>
      <c r="C11" s="7" t="s">
        <v>18</v>
      </c>
      <c r="D11" s="7" t="s">
        <v>16</v>
      </c>
      <c r="E11" s="7">
        <v>4</v>
      </c>
      <c r="F11" s="9">
        <v>850</v>
      </c>
      <c r="G11" s="9">
        <f t="shared" si="0"/>
        <v>3400</v>
      </c>
      <c r="H11" s="7" t="str">
        <f t="shared" si="1"/>
        <v>High Sales</v>
      </c>
    </row>
    <row r="12" spans="1:8">
      <c r="A12" s="8">
        <v>46041</v>
      </c>
      <c r="B12" s="8">
        <v>46023</v>
      </c>
      <c r="C12" s="7" t="s">
        <v>9</v>
      </c>
      <c r="D12" s="7" t="s">
        <v>19</v>
      </c>
      <c r="E12" s="7">
        <v>5</v>
      </c>
      <c r="F12" s="9">
        <v>220</v>
      </c>
      <c r="G12" s="9">
        <f t="shared" si="0"/>
        <v>1100</v>
      </c>
      <c r="H12" s="7" t="str">
        <f t="shared" si="1"/>
        <v>High Sales</v>
      </c>
    </row>
    <row r="13" spans="1:8">
      <c r="A13" s="8">
        <v>46043</v>
      </c>
      <c r="B13" s="8">
        <v>46023</v>
      </c>
      <c r="C13" s="7" t="s">
        <v>12</v>
      </c>
      <c r="D13" s="7" t="s">
        <v>21</v>
      </c>
      <c r="E13" s="7">
        <v>6</v>
      </c>
      <c r="F13" s="9">
        <v>65</v>
      </c>
      <c r="G13" s="9">
        <f t="shared" si="0"/>
        <v>390</v>
      </c>
      <c r="H13" s="7" t="str">
        <f t="shared" si="1"/>
        <v>Low Sales</v>
      </c>
    </row>
    <row r="14" spans="1:8">
      <c r="A14" s="8">
        <v>46076</v>
      </c>
      <c r="B14" s="8">
        <v>46054</v>
      </c>
      <c r="C14" s="7" t="s">
        <v>18</v>
      </c>
      <c r="D14" s="7" t="s">
        <v>16</v>
      </c>
      <c r="E14" s="7">
        <v>2</v>
      </c>
      <c r="F14" s="9">
        <v>850</v>
      </c>
      <c r="G14" s="9">
        <f t="shared" si="0"/>
        <v>1700</v>
      </c>
      <c r="H14" s="7" t="str">
        <f t="shared" si="1"/>
        <v>High Sales</v>
      </c>
    </row>
    <row r="15" spans="1:8">
      <c r="A15" s="8">
        <v>46078</v>
      </c>
      <c r="B15" s="8">
        <v>46054</v>
      </c>
      <c r="C15" s="7" t="s">
        <v>9</v>
      </c>
      <c r="D15" s="7" t="s">
        <v>19</v>
      </c>
      <c r="E15" s="7">
        <v>3</v>
      </c>
      <c r="F15" s="9">
        <v>220</v>
      </c>
      <c r="G15" s="9">
        <f t="shared" si="0"/>
        <v>660</v>
      </c>
      <c r="H15" s="7" t="str">
        <f t="shared" si="1"/>
        <v>Low Sales</v>
      </c>
    </row>
    <row r="16" spans="1:8">
      <c r="A16" s="8">
        <v>46080</v>
      </c>
      <c r="B16" s="8">
        <v>46054</v>
      </c>
      <c r="C16" s="7" t="s">
        <v>12</v>
      </c>
      <c r="D16" s="7" t="s">
        <v>21</v>
      </c>
      <c r="E16" s="7">
        <v>4</v>
      </c>
      <c r="F16" s="9">
        <v>65</v>
      </c>
      <c r="G16" s="9">
        <f t="shared" si="0"/>
        <v>260</v>
      </c>
      <c r="H16" s="7" t="str">
        <f t="shared" si="1"/>
        <v>Low Sales</v>
      </c>
    </row>
    <row r="17" spans="1:8">
      <c r="A17" s="8">
        <v>46055</v>
      </c>
      <c r="B17" s="8">
        <v>46054</v>
      </c>
      <c r="C17" s="7" t="s">
        <v>15</v>
      </c>
      <c r="D17" s="7" t="s">
        <v>10</v>
      </c>
      <c r="E17" s="7">
        <v>5</v>
      </c>
      <c r="F17" s="9">
        <v>25</v>
      </c>
      <c r="G17" s="9">
        <f t="shared" si="0"/>
        <v>125</v>
      </c>
      <c r="H17" s="7" t="str">
        <f t="shared" si="1"/>
        <v>Low Sales</v>
      </c>
    </row>
    <row r="18" spans="1:8">
      <c r="A18" s="8">
        <v>46057</v>
      </c>
      <c r="B18" s="8">
        <v>46054</v>
      </c>
      <c r="C18" s="7" t="s">
        <v>18</v>
      </c>
      <c r="D18" s="7" t="s">
        <v>13</v>
      </c>
      <c r="E18" s="7">
        <v>6</v>
      </c>
      <c r="F18" s="9">
        <v>40</v>
      </c>
      <c r="G18" s="9">
        <f t="shared" si="0"/>
        <v>240</v>
      </c>
      <c r="H18" s="7" t="str">
        <f t="shared" si="1"/>
        <v>Low Sales</v>
      </c>
    </row>
    <row r="19" spans="1:8">
      <c r="A19" s="8">
        <v>46059</v>
      </c>
      <c r="B19" s="8">
        <v>46054</v>
      </c>
      <c r="C19" s="7" t="s">
        <v>9</v>
      </c>
      <c r="D19" s="7" t="s">
        <v>16</v>
      </c>
      <c r="E19" s="7">
        <v>1</v>
      </c>
      <c r="F19" s="9">
        <v>850</v>
      </c>
      <c r="G19" s="9">
        <f t="shared" si="0"/>
        <v>850</v>
      </c>
      <c r="H19" s="7" t="str">
        <f t="shared" si="1"/>
        <v>Low Sales</v>
      </c>
    </row>
    <row r="20" spans="1:8">
      <c r="A20" s="8">
        <v>46061</v>
      </c>
      <c r="B20" s="8">
        <v>46054</v>
      </c>
      <c r="C20" s="7" t="s">
        <v>12</v>
      </c>
      <c r="D20" s="7" t="s">
        <v>19</v>
      </c>
      <c r="E20" s="7">
        <v>2</v>
      </c>
      <c r="F20" s="9">
        <v>220</v>
      </c>
      <c r="G20" s="9">
        <f t="shared" si="0"/>
        <v>440</v>
      </c>
      <c r="H20" s="7" t="str">
        <f t="shared" si="1"/>
        <v>Low Sales</v>
      </c>
    </row>
    <row r="21" spans="1:8">
      <c r="A21" s="8">
        <v>46063</v>
      </c>
      <c r="B21" s="8">
        <v>46054</v>
      </c>
      <c r="C21" s="7" t="s">
        <v>15</v>
      </c>
      <c r="D21" s="7" t="s">
        <v>21</v>
      </c>
      <c r="E21" s="7">
        <v>3</v>
      </c>
      <c r="F21" s="9">
        <v>65</v>
      </c>
      <c r="G21" s="9">
        <f t="shared" si="0"/>
        <v>195</v>
      </c>
      <c r="H21" s="7" t="str">
        <f t="shared" si="1"/>
        <v>Low Sales</v>
      </c>
    </row>
    <row r="22" spans="1:8">
      <c r="A22" s="8">
        <v>46065</v>
      </c>
      <c r="B22" s="8">
        <v>46054</v>
      </c>
      <c r="C22" s="7" t="s">
        <v>18</v>
      </c>
      <c r="D22" s="7" t="s">
        <v>10</v>
      </c>
      <c r="E22" s="7">
        <v>4</v>
      </c>
      <c r="F22" s="9">
        <v>25</v>
      </c>
      <c r="G22" s="9">
        <f t="shared" si="0"/>
        <v>100</v>
      </c>
      <c r="H22" s="7" t="str">
        <f t="shared" si="1"/>
        <v>Low Sales</v>
      </c>
    </row>
    <row r="23" spans="1:8">
      <c r="A23" s="8">
        <v>46067</v>
      </c>
      <c r="B23" s="8">
        <v>46054</v>
      </c>
      <c r="C23" s="7" t="s">
        <v>9</v>
      </c>
      <c r="D23" s="7" t="s">
        <v>13</v>
      </c>
      <c r="E23" s="7">
        <v>5</v>
      </c>
      <c r="F23" s="9">
        <v>40</v>
      </c>
      <c r="G23" s="9">
        <f t="shared" si="0"/>
        <v>200</v>
      </c>
      <c r="H23" s="7" t="str">
        <f t="shared" si="1"/>
        <v>Low Sales</v>
      </c>
    </row>
    <row r="24" spans="1:8">
      <c r="A24" s="8">
        <v>46097</v>
      </c>
      <c r="B24" s="8">
        <v>46082</v>
      </c>
      <c r="C24" s="7" t="s">
        <v>15</v>
      </c>
      <c r="D24" s="7" t="s">
        <v>21</v>
      </c>
      <c r="E24" s="7">
        <v>1</v>
      </c>
      <c r="F24" s="9">
        <v>65</v>
      </c>
      <c r="G24" s="9">
        <f t="shared" si="0"/>
        <v>65</v>
      </c>
      <c r="H24" s="7" t="str">
        <f t="shared" si="1"/>
        <v>Low Sales</v>
      </c>
    </row>
    <row r="25" spans="1:8">
      <c r="A25" s="8">
        <v>46099</v>
      </c>
      <c r="B25" s="8">
        <v>46082</v>
      </c>
      <c r="C25" s="7" t="s">
        <v>18</v>
      </c>
      <c r="D25" s="7" t="s">
        <v>10</v>
      </c>
      <c r="E25" s="7">
        <v>2</v>
      </c>
      <c r="F25" s="9">
        <v>25</v>
      </c>
      <c r="G25" s="9">
        <f t="shared" si="0"/>
        <v>50</v>
      </c>
      <c r="H25" s="7" t="str">
        <f t="shared" si="1"/>
        <v>Low Sales</v>
      </c>
    </row>
    <row r="26" spans="1:8">
      <c r="A26" s="8">
        <v>46101</v>
      </c>
      <c r="B26" s="8">
        <v>46082</v>
      </c>
      <c r="C26" s="7" t="s">
        <v>9</v>
      </c>
      <c r="D26" s="7" t="s">
        <v>13</v>
      </c>
      <c r="E26" s="7">
        <v>3</v>
      </c>
      <c r="F26" s="9">
        <v>40</v>
      </c>
      <c r="G26" s="9">
        <f t="shared" si="0"/>
        <v>120</v>
      </c>
      <c r="H26" s="7" t="str">
        <f t="shared" si="1"/>
        <v>Low Sales</v>
      </c>
    </row>
    <row r="27" spans="1:8">
      <c r="A27" s="8">
        <v>46103</v>
      </c>
      <c r="B27" s="8">
        <v>46082</v>
      </c>
      <c r="C27" s="7" t="s">
        <v>12</v>
      </c>
      <c r="D27" s="7" t="s">
        <v>16</v>
      </c>
      <c r="E27" s="7">
        <v>4</v>
      </c>
      <c r="F27" s="9">
        <v>850</v>
      </c>
      <c r="G27" s="9">
        <f t="shared" si="0"/>
        <v>3400</v>
      </c>
      <c r="H27" s="7" t="str">
        <f t="shared" si="1"/>
        <v>High Sales</v>
      </c>
    </row>
    <row r="28" spans="1:8">
      <c r="A28" s="8">
        <v>46105</v>
      </c>
      <c r="B28" s="8">
        <v>46082</v>
      </c>
      <c r="C28" s="7" t="s">
        <v>15</v>
      </c>
      <c r="D28" s="7" t="s">
        <v>19</v>
      </c>
      <c r="E28" s="7">
        <v>5</v>
      </c>
      <c r="F28" s="9">
        <v>220</v>
      </c>
      <c r="G28" s="9">
        <f t="shared" si="0"/>
        <v>1100</v>
      </c>
      <c r="H28" s="7" t="str">
        <f t="shared" si="1"/>
        <v>High Sales</v>
      </c>
    </row>
    <row r="29" spans="1:8">
      <c r="A29" s="8">
        <v>46107</v>
      </c>
      <c r="B29" s="8">
        <v>46082</v>
      </c>
      <c r="C29" s="7" t="s">
        <v>18</v>
      </c>
      <c r="D29" s="7" t="s">
        <v>21</v>
      </c>
      <c r="E29" s="7">
        <v>6</v>
      </c>
      <c r="F29" s="9">
        <v>65</v>
      </c>
      <c r="G29" s="9">
        <f t="shared" si="0"/>
        <v>390</v>
      </c>
      <c r="H29" s="7" t="str">
        <f t="shared" si="1"/>
        <v>Low Sales</v>
      </c>
    </row>
    <row r="30" spans="1:8">
      <c r="A30" s="8">
        <v>46082</v>
      </c>
      <c r="B30" s="8">
        <v>46082</v>
      </c>
      <c r="C30" s="7" t="s">
        <v>9</v>
      </c>
      <c r="D30" s="7" t="s">
        <v>10</v>
      </c>
      <c r="E30" s="7">
        <v>1</v>
      </c>
      <c r="F30" s="9">
        <v>25</v>
      </c>
      <c r="G30" s="9">
        <f t="shared" si="0"/>
        <v>25</v>
      </c>
      <c r="H30" s="7" t="str">
        <f t="shared" si="1"/>
        <v>Low Sales</v>
      </c>
    </row>
    <row r="31" spans="1:8">
      <c r="A31" s="8">
        <v>46084</v>
      </c>
      <c r="B31" s="8">
        <v>46082</v>
      </c>
      <c r="C31" s="7" t="s">
        <v>12</v>
      </c>
      <c r="D31" s="7" t="s">
        <v>13</v>
      </c>
      <c r="E31" s="7">
        <v>2</v>
      </c>
      <c r="F31" s="9">
        <v>40</v>
      </c>
      <c r="G31" s="9">
        <f t="shared" si="0"/>
        <v>80</v>
      </c>
      <c r="H31" s="7" t="str">
        <f t="shared" si="1"/>
        <v>Low Sales</v>
      </c>
    </row>
    <row r="32" spans="1:8">
      <c r="A32" s="8">
        <v>46086</v>
      </c>
      <c r="B32" s="8">
        <v>46082</v>
      </c>
      <c r="C32" s="7" t="s">
        <v>15</v>
      </c>
      <c r="D32" s="7" t="s">
        <v>16</v>
      </c>
      <c r="E32" s="7">
        <v>3</v>
      </c>
      <c r="F32" s="9">
        <v>850</v>
      </c>
      <c r="G32" s="9">
        <f t="shared" si="0"/>
        <v>2550</v>
      </c>
      <c r="H32" s="7" t="str">
        <f t="shared" si="1"/>
        <v>High Sales</v>
      </c>
    </row>
    <row r="33" spans="1:8">
      <c r="A33" s="8">
        <v>46088</v>
      </c>
      <c r="B33" s="8">
        <v>46082</v>
      </c>
      <c r="C33" s="7" t="s">
        <v>18</v>
      </c>
      <c r="D33" s="7" t="s">
        <v>19</v>
      </c>
      <c r="E33" s="7">
        <v>4</v>
      </c>
      <c r="F33" s="9">
        <v>220</v>
      </c>
      <c r="G33" s="9">
        <f t="shared" si="0"/>
        <v>880</v>
      </c>
      <c r="H33" s="7" t="str">
        <f t="shared" si="1"/>
        <v>Low Sales</v>
      </c>
    </row>
    <row r="34" spans="1:8">
      <c r="A34" s="8">
        <v>46121</v>
      </c>
      <c r="B34" s="8">
        <v>46113</v>
      </c>
      <c r="C34" s="7" t="s">
        <v>12</v>
      </c>
      <c r="D34" s="7" t="s">
        <v>13</v>
      </c>
      <c r="E34" s="7">
        <v>6</v>
      </c>
      <c r="F34" s="9">
        <v>40</v>
      </c>
      <c r="G34" s="9">
        <f t="shared" si="0"/>
        <v>240</v>
      </c>
      <c r="H34" s="7" t="str">
        <f t="shared" si="1"/>
        <v>Low Sales</v>
      </c>
    </row>
    <row r="35" spans="1:8">
      <c r="A35" s="8">
        <v>46123</v>
      </c>
      <c r="B35" s="8">
        <v>46113</v>
      </c>
      <c r="C35" s="7" t="s">
        <v>15</v>
      </c>
      <c r="D35" s="7" t="s">
        <v>16</v>
      </c>
      <c r="E35" s="7">
        <v>1</v>
      </c>
      <c r="F35" s="9">
        <v>850</v>
      </c>
      <c r="G35" s="9">
        <f t="shared" si="0"/>
        <v>850</v>
      </c>
      <c r="H35" s="7" t="str">
        <f t="shared" si="1"/>
        <v>Low Sales</v>
      </c>
    </row>
    <row r="36" spans="1:8">
      <c r="A36" s="8">
        <v>46125</v>
      </c>
      <c r="B36" s="8">
        <v>46113</v>
      </c>
      <c r="C36" s="7" t="s">
        <v>18</v>
      </c>
      <c r="D36" s="7" t="s">
        <v>19</v>
      </c>
      <c r="E36" s="7">
        <v>2</v>
      </c>
      <c r="F36" s="9">
        <v>220</v>
      </c>
      <c r="G36" s="9">
        <f t="shared" si="0"/>
        <v>440</v>
      </c>
      <c r="H36" s="7" t="str">
        <f t="shared" si="1"/>
        <v>Low Sales</v>
      </c>
    </row>
    <row r="37" spans="1:8">
      <c r="A37" s="8">
        <v>46127</v>
      </c>
      <c r="B37" s="8">
        <v>46113</v>
      </c>
      <c r="C37" s="7" t="s">
        <v>9</v>
      </c>
      <c r="D37" s="7" t="s">
        <v>21</v>
      </c>
      <c r="E37" s="7">
        <v>3</v>
      </c>
      <c r="F37" s="9">
        <v>65</v>
      </c>
      <c r="G37" s="9">
        <f t="shared" si="0"/>
        <v>195</v>
      </c>
      <c r="H37" s="7" t="str">
        <f t="shared" si="1"/>
        <v>Low Sales</v>
      </c>
    </row>
    <row r="38" spans="1:8">
      <c r="A38" s="8">
        <v>46129</v>
      </c>
      <c r="B38" s="8">
        <v>46113</v>
      </c>
      <c r="C38" s="7" t="s">
        <v>12</v>
      </c>
      <c r="D38" s="7" t="s">
        <v>10</v>
      </c>
      <c r="E38" s="7">
        <v>4</v>
      </c>
      <c r="F38" s="9">
        <v>25</v>
      </c>
      <c r="G38" s="9">
        <f t="shared" si="0"/>
        <v>100</v>
      </c>
      <c r="H38" s="7" t="str">
        <f t="shared" si="1"/>
        <v>Low Sales</v>
      </c>
    </row>
    <row r="39" spans="1:8">
      <c r="A39" s="8">
        <v>46131</v>
      </c>
      <c r="B39" s="8">
        <v>46113</v>
      </c>
      <c r="C39" s="7" t="s">
        <v>15</v>
      </c>
      <c r="D39" s="7" t="s">
        <v>13</v>
      </c>
      <c r="E39" s="7">
        <v>5</v>
      </c>
      <c r="F39" s="9">
        <v>40</v>
      </c>
      <c r="G39" s="9">
        <f t="shared" si="0"/>
        <v>200</v>
      </c>
      <c r="H39" s="7" t="str">
        <f t="shared" si="1"/>
        <v>Low Sales</v>
      </c>
    </row>
    <row r="40" spans="1:8">
      <c r="A40" s="8">
        <v>46133</v>
      </c>
      <c r="B40" s="8">
        <v>46113</v>
      </c>
      <c r="C40" s="7" t="s">
        <v>18</v>
      </c>
      <c r="D40" s="7" t="s">
        <v>16</v>
      </c>
      <c r="E40" s="7">
        <v>6</v>
      </c>
      <c r="F40" s="9">
        <v>850</v>
      </c>
      <c r="G40" s="9">
        <f t="shared" si="0"/>
        <v>5100</v>
      </c>
      <c r="H40" s="7" t="str">
        <f t="shared" si="1"/>
        <v>High Sales</v>
      </c>
    </row>
    <row r="41" spans="1:8">
      <c r="A41" s="8">
        <v>46135</v>
      </c>
      <c r="B41" s="8">
        <v>46113</v>
      </c>
      <c r="C41" s="7" t="s">
        <v>9</v>
      </c>
      <c r="D41" s="7" t="s">
        <v>19</v>
      </c>
      <c r="E41" s="7">
        <v>1</v>
      </c>
      <c r="F41" s="9">
        <v>220</v>
      </c>
      <c r="G41" s="9">
        <f t="shared" si="0"/>
        <v>220</v>
      </c>
      <c r="H41" s="7" t="str">
        <f t="shared" si="1"/>
        <v>Low Sales</v>
      </c>
    </row>
    <row r="42" spans="1:8">
      <c r="A42" s="8">
        <v>46137</v>
      </c>
      <c r="B42" s="8">
        <v>46113</v>
      </c>
      <c r="C42" s="7" t="s">
        <v>12</v>
      </c>
      <c r="D42" s="7" t="s">
        <v>21</v>
      </c>
      <c r="E42" s="7">
        <v>2</v>
      </c>
      <c r="F42" s="9">
        <v>65</v>
      </c>
      <c r="G42" s="9">
        <f t="shared" si="0"/>
        <v>130</v>
      </c>
      <c r="H42" s="7" t="str">
        <f t="shared" si="1"/>
        <v>Low Sales</v>
      </c>
    </row>
    <row r="43" spans="1:8">
      <c r="A43" s="8">
        <v>46139</v>
      </c>
      <c r="B43" s="8">
        <v>46113</v>
      </c>
      <c r="C43" s="7" t="s">
        <v>15</v>
      </c>
      <c r="D43" s="7" t="s">
        <v>10</v>
      </c>
      <c r="E43" s="7">
        <v>3</v>
      </c>
      <c r="F43" s="9">
        <v>25</v>
      </c>
      <c r="G43" s="9">
        <f t="shared" si="0"/>
        <v>75</v>
      </c>
      <c r="H43" s="7" t="str">
        <f t="shared" si="1"/>
        <v>Low Sales</v>
      </c>
    </row>
    <row r="44" spans="1:8">
      <c r="A44" s="8">
        <v>46144</v>
      </c>
      <c r="B44" s="8">
        <v>46143</v>
      </c>
      <c r="C44" s="7" t="s">
        <v>9</v>
      </c>
      <c r="D44" s="7" t="s">
        <v>19</v>
      </c>
      <c r="E44" s="7">
        <v>5</v>
      </c>
      <c r="F44" s="9">
        <v>220</v>
      </c>
      <c r="G44" s="9">
        <f t="shared" si="0"/>
        <v>1100</v>
      </c>
      <c r="H44" s="7" t="str">
        <f t="shared" si="1"/>
        <v>High Sales</v>
      </c>
    </row>
    <row r="45" spans="1:8">
      <c r="A45" s="8">
        <v>46146</v>
      </c>
      <c r="B45" s="8">
        <v>46143</v>
      </c>
      <c r="C45" s="7" t="s">
        <v>12</v>
      </c>
      <c r="D45" s="7" t="s">
        <v>21</v>
      </c>
      <c r="E45" s="7">
        <v>6</v>
      </c>
      <c r="F45" s="9">
        <v>65</v>
      </c>
      <c r="G45" s="9">
        <f t="shared" si="0"/>
        <v>390</v>
      </c>
      <c r="H45" s="7" t="str">
        <f t="shared" si="1"/>
        <v>Low Sales</v>
      </c>
    </row>
    <row r="46" spans="1:8">
      <c r="A46" s="8">
        <v>46148</v>
      </c>
      <c r="B46" s="8">
        <v>46143</v>
      </c>
      <c r="C46" s="7" t="s">
        <v>15</v>
      </c>
      <c r="D46" s="7" t="s">
        <v>10</v>
      </c>
      <c r="E46" s="7">
        <v>1</v>
      </c>
      <c r="F46" s="9">
        <v>25</v>
      </c>
      <c r="G46" s="9">
        <f t="shared" si="0"/>
        <v>25</v>
      </c>
      <c r="H46" s="7" t="str">
        <f t="shared" si="1"/>
        <v>Low Sales</v>
      </c>
    </row>
    <row r="47" spans="1:8">
      <c r="A47" s="8">
        <v>46150</v>
      </c>
      <c r="B47" s="8">
        <v>46143</v>
      </c>
      <c r="C47" s="7" t="s">
        <v>18</v>
      </c>
      <c r="D47" s="7" t="s">
        <v>13</v>
      </c>
      <c r="E47" s="7">
        <v>2</v>
      </c>
      <c r="F47" s="9">
        <v>40</v>
      </c>
      <c r="G47" s="9">
        <f t="shared" si="0"/>
        <v>80</v>
      </c>
      <c r="H47" s="7" t="str">
        <f t="shared" si="1"/>
        <v>Low Sales</v>
      </c>
    </row>
    <row r="48" spans="1:8">
      <c r="A48" s="8">
        <v>46152</v>
      </c>
      <c r="B48" s="8">
        <v>46143</v>
      </c>
      <c r="C48" s="7" t="s">
        <v>9</v>
      </c>
      <c r="D48" s="7" t="s">
        <v>16</v>
      </c>
      <c r="E48" s="7">
        <v>3</v>
      </c>
      <c r="F48" s="9">
        <v>850</v>
      </c>
      <c r="G48" s="9">
        <f t="shared" si="0"/>
        <v>2550</v>
      </c>
      <c r="H48" s="7" t="str">
        <f t="shared" si="1"/>
        <v>High Sales</v>
      </c>
    </row>
    <row r="49" spans="1:8">
      <c r="A49" s="8">
        <v>46154</v>
      </c>
      <c r="B49" s="8">
        <v>46143</v>
      </c>
      <c r="C49" s="7" t="s">
        <v>12</v>
      </c>
      <c r="D49" s="7" t="s">
        <v>19</v>
      </c>
      <c r="E49" s="7">
        <v>4</v>
      </c>
      <c r="F49" s="9">
        <v>220</v>
      </c>
      <c r="G49" s="9">
        <f t="shared" si="0"/>
        <v>880</v>
      </c>
      <c r="H49" s="7" t="str">
        <f t="shared" si="1"/>
        <v>Low Sales</v>
      </c>
    </row>
    <row r="50" spans="1:8">
      <c r="A50" s="8">
        <v>46156</v>
      </c>
      <c r="B50" s="8">
        <v>46143</v>
      </c>
      <c r="C50" s="7" t="s">
        <v>15</v>
      </c>
      <c r="D50" s="7" t="s">
        <v>21</v>
      </c>
      <c r="E50" s="7">
        <v>5</v>
      </c>
      <c r="F50" s="9">
        <v>65</v>
      </c>
      <c r="G50" s="9">
        <f t="shared" si="0"/>
        <v>325</v>
      </c>
      <c r="H50" s="7" t="str">
        <f t="shared" si="1"/>
        <v>Low Sales</v>
      </c>
    </row>
    <row r="51" spans="1:8">
      <c r="A51" s="8">
        <v>46158</v>
      </c>
      <c r="B51" s="8">
        <v>46143</v>
      </c>
      <c r="C51" s="7" t="s">
        <v>18</v>
      </c>
      <c r="D51" s="7" t="s">
        <v>10</v>
      </c>
      <c r="E51" s="7">
        <v>6</v>
      </c>
      <c r="F51" s="9">
        <v>25</v>
      </c>
      <c r="G51" s="9">
        <f t="shared" si="0"/>
        <v>150</v>
      </c>
      <c r="H51" s="7" t="str">
        <f t="shared" si="1"/>
        <v>Low Sales</v>
      </c>
    </row>
    <row r="52" spans="1:8">
      <c r="A52" s="8">
        <v>46160</v>
      </c>
      <c r="B52" s="8">
        <v>46143</v>
      </c>
      <c r="C52" s="7" t="s">
        <v>9</v>
      </c>
      <c r="D52" s="7" t="s">
        <v>13</v>
      </c>
      <c r="E52" s="7">
        <v>1</v>
      </c>
      <c r="F52" s="9">
        <v>40</v>
      </c>
      <c r="G52" s="9">
        <f t="shared" si="0"/>
        <v>40</v>
      </c>
      <c r="H52" s="7" t="str">
        <f t="shared" si="1"/>
        <v>Low Sales</v>
      </c>
    </row>
    <row r="53" spans="1:8">
      <c r="A53" s="8">
        <v>46162</v>
      </c>
      <c r="B53" s="8">
        <v>46143</v>
      </c>
      <c r="C53" s="7" t="s">
        <v>12</v>
      </c>
      <c r="D53" s="7" t="s">
        <v>16</v>
      </c>
      <c r="E53" s="7">
        <v>2</v>
      </c>
      <c r="F53" s="9">
        <v>850</v>
      </c>
      <c r="G53" s="9">
        <f t="shared" si="0"/>
        <v>1700</v>
      </c>
      <c r="H53" s="7" t="str">
        <f t="shared" si="1"/>
        <v>High Sales</v>
      </c>
    </row>
    <row r="54" spans="1:8">
      <c r="A54" s="8">
        <v>46195</v>
      </c>
      <c r="B54" s="8">
        <v>46174</v>
      </c>
      <c r="C54" s="7" t="s">
        <v>18</v>
      </c>
      <c r="D54" s="7" t="s">
        <v>10</v>
      </c>
      <c r="E54" s="7">
        <v>4</v>
      </c>
      <c r="F54" s="9">
        <v>25</v>
      </c>
      <c r="G54" s="9">
        <f t="shared" si="0"/>
        <v>100</v>
      </c>
      <c r="H54" s="7" t="str">
        <f t="shared" si="1"/>
        <v>Low Sales</v>
      </c>
    </row>
    <row r="55" spans="1:8">
      <c r="A55" s="8">
        <v>46197</v>
      </c>
      <c r="B55" s="8">
        <v>46174</v>
      </c>
      <c r="C55" s="7" t="s">
        <v>9</v>
      </c>
      <c r="D55" s="7" t="s">
        <v>13</v>
      </c>
      <c r="E55" s="7">
        <v>5</v>
      </c>
      <c r="F55" s="9">
        <v>40</v>
      </c>
      <c r="G55" s="9">
        <f t="shared" si="0"/>
        <v>200</v>
      </c>
      <c r="H55" s="7" t="str">
        <f t="shared" si="1"/>
        <v>Low Sales</v>
      </c>
    </row>
    <row r="56" spans="1:8">
      <c r="A56" s="8">
        <v>46199</v>
      </c>
      <c r="B56" s="8">
        <v>46174</v>
      </c>
      <c r="C56" s="7" t="s">
        <v>12</v>
      </c>
      <c r="D56" s="7" t="s">
        <v>16</v>
      </c>
      <c r="E56" s="7">
        <v>6</v>
      </c>
      <c r="F56" s="9">
        <v>850</v>
      </c>
      <c r="G56" s="9">
        <f t="shared" si="0"/>
        <v>5100</v>
      </c>
      <c r="H56" s="7" t="str">
        <f t="shared" si="1"/>
        <v>High Sales</v>
      </c>
    </row>
    <row r="57" spans="1:8">
      <c r="A57" s="8">
        <v>46174</v>
      </c>
      <c r="B57" s="8">
        <v>46174</v>
      </c>
      <c r="C57" s="7" t="s">
        <v>15</v>
      </c>
      <c r="D57" s="7" t="s">
        <v>19</v>
      </c>
      <c r="E57" s="7">
        <v>1</v>
      </c>
      <c r="F57" s="9">
        <v>220</v>
      </c>
      <c r="G57" s="9">
        <f t="shared" si="0"/>
        <v>220</v>
      </c>
      <c r="H57" s="7" t="str">
        <f t="shared" si="1"/>
        <v>Low Sales</v>
      </c>
    </row>
    <row r="58" spans="1:8">
      <c r="A58" s="8">
        <v>46176</v>
      </c>
      <c r="B58" s="8">
        <v>46174</v>
      </c>
      <c r="C58" s="7" t="s">
        <v>18</v>
      </c>
      <c r="D58" s="7" t="s">
        <v>21</v>
      </c>
      <c r="E58" s="7">
        <v>2</v>
      </c>
      <c r="F58" s="9">
        <v>65</v>
      </c>
      <c r="G58" s="9">
        <f t="shared" si="0"/>
        <v>130</v>
      </c>
      <c r="H58" s="7" t="str">
        <f t="shared" si="1"/>
        <v>Low Sales</v>
      </c>
    </row>
    <row r="59" spans="1:8">
      <c r="A59" s="8">
        <v>46178</v>
      </c>
      <c r="B59" s="8">
        <v>46174</v>
      </c>
      <c r="C59" s="7" t="s">
        <v>9</v>
      </c>
      <c r="D59" s="7" t="s">
        <v>10</v>
      </c>
      <c r="E59" s="7">
        <v>3</v>
      </c>
      <c r="F59" s="9">
        <v>25</v>
      </c>
      <c r="G59" s="9">
        <f t="shared" si="0"/>
        <v>75</v>
      </c>
      <c r="H59" s="7" t="str">
        <f t="shared" si="1"/>
        <v>Low Sales</v>
      </c>
    </row>
    <row r="60" spans="1:8">
      <c r="A60" s="8">
        <v>46180</v>
      </c>
      <c r="B60" s="8">
        <v>46174</v>
      </c>
      <c r="C60" s="7" t="s">
        <v>12</v>
      </c>
      <c r="D60" s="7" t="s">
        <v>13</v>
      </c>
      <c r="E60" s="7">
        <v>4</v>
      </c>
      <c r="F60" s="9">
        <v>40</v>
      </c>
      <c r="G60" s="9">
        <f t="shared" si="0"/>
        <v>160</v>
      </c>
      <c r="H60" s="7" t="str">
        <f t="shared" si="1"/>
        <v>Low Sales</v>
      </c>
    </row>
    <row r="61" spans="1:8">
      <c r="A61" s="8">
        <v>46182</v>
      </c>
      <c r="B61" s="8">
        <v>46174</v>
      </c>
      <c r="C61" s="7" t="s">
        <v>15</v>
      </c>
      <c r="D61" s="7" t="s">
        <v>16</v>
      </c>
      <c r="E61" s="7">
        <v>5</v>
      </c>
      <c r="F61" s="9">
        <v>850</v>
      </c>
      <c r="G61" s="9">
        <f t="shared" si="0"/>
        <v>4250</v>
      </c>
      <c r="H61" s="7" t="str">
        <f t="shared" si="1"/>
        <v>High Sales</v>
      </c>
    </row>
    <row r="62" spans="1:8">
      <c r="A62" s="8">
        <v>46184</v>
      </c>
      <c r="B62" s="8">
        <v>46174</v>
      </c>
      <c r="C62" s="7" t="s">
        <v>18</v>
      </c>
      <c r="D62" s="7" t="s">
        <v>19</v>
      </c>
      <c r="E62" s="7">
        <v>6</v>
      </c>
      <c r="F62" s="9">
        <v>220</v>
      </c>
      <c r="G62" s="9">
        <f t="shared" si="0"/>
        <v>1320</v>
      </c>
      <c r="H62" s="7" t="str">
        <f t="shared" si="1"/>
        <v>High Sales</v>
      </c>
    </row>
    <row r="63" spans="1:8">
      <c r="A63" s="8">
        <v>46186</v>
      </c>
      <c r="B63" s="8">
        <v>46174</v>
      </c>
      <c r="C63" s="7" t="s">
        <v>9</v>
      </c>
      <c r="D63" s="7" t="s">
        <v>21</v>
      </c>
      <c r="E63" s="7">
        <v>1</v>
      </c>
      <c r="F63" s="9">
        <v>65</v>
      </c>
      <c r="G63" s="9">
        <f t="shared" si="0"/>
        <v>65</v>
      </c>
      <c r="H63" s="7" t="str">
        <f t="shared" si="1"/>
        <v>Low Sales</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Revenue by Product</vt:lpstr>
      <vt:lpstr>Revenue by City</vt:lpstr>
      <vt:lpstr>City Revenue Pivot Table</vt:lpstr>
      <vt:lpstr>Sales Dashboard.</vt:lpstr>
      <vt:lpstr>KPI Revenue</vt:lpstr>
      <vt:lpstr>Sales Data</vt:lpstr>
      <vt:lpstr>retail_sales_project</vt:lpstr>
      <vt:lpstr>EXcel formula</vt:lpstr>
      <vt:lpstr>Analysis</vt:lpstr>
      <vt:lpstr>Prompt Practice</vt:lpstr>
      <vt:lpstr>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shridevi Kamble</cp:lastModifiedBy>
  <dcterms:modified xsi:type="dcterms:W3CDTF">2026-10-17T09:27:22Z</dcterms:modified>
</cp:coreProperties>
</file>