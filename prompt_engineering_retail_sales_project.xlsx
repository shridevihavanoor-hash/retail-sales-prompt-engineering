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5d31d2801247a2" /></Relationships>
</file>

<file path=xl/workbook.xml><?xml version="1.0" encoding="utf-8"?>
<x:workbook xmlns:x="http://schemas.openxmlformats.org/spreadsheetml/2006/main">
  <x:sheets>
    <x:sheet xmlns:r="http://schemas.openxmlformats.org/officeDocument/2006/relationships" name="Sales Data" sheetId="1" r:id="R5a1a757651334499"/>
    <x:sheet xmlns:r="http://schemas.openxmlformats.org/officeDocument/2006/relationships" name="Analysis" sheetId="2" r:id="R22b9e431108d49de"/>
    <x:sheet xmlns:r="http://schemas.openxmlformats.org/officeDocument/2006/relationships" name="Prompt Practice" sheetId="3" r:id="R4ed5f1f932334ea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0.00"/>
    <x:numFmt numFmtId="202" formatCode="mmm yyyy"/>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4baa0b68fc45c9" /><Relationship Type="http://schemas.openxmlformats.org/officeDocument/2006/relationships/theme" Target="/xl/theme/theme1.xml" Id="R17d391e2264d481c" /><Relationship Type="http://schemas.openxmlformats.org/officeDocument/2006/relationships/sharedStrings" Target="/xl/sharedStrings.xml" Id="R6d9228b63fdf4df8" /><Relationship Type="http://schemas.openxmlformats.org/officeDocument/2006/relationships/worksheet" Target="/xl/worksheets/sheet1.xml" Id="R5a1a757651334499" /><Relationship Type="http://schemas.openxmlformats.org/officeDocument/2006/relationships/worksheet" Target="/xl/worksheets/sheet2.xml" Id="R22b9e431108d49de" /><Relationship Type="http://schemas.openxmlformats.org/officeDocument/2006/relationships/worksheet" Target="/xl/worksheets/sheet3.xml" Id="R4ed5f1f932334e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a1266ab6f54387"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Monthly revenue</c:v>
          </c:tx>
          <c:cat>
            <c:strRef>
              <c:f>'Analysis'!$A$10:$A$15</c:f>
              <c:strCache>
                <c:ptCount val="0"/>
              </c:strCache>
            </c:strRef>
          </c:cat>
          <c:val>
            <c:numRef>
              <c:f>'Analysis'!$B$10:$B$15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a1266ab6f5438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11403d15d12462e"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8" hidden="0" customWidth="1"/>
    <x:col min="3" max="3" width="18" hidden="0" customWidth="1"/>
    <x:col min="4" max="4" width="17" hidden="0" customWidth="1"/>
    <x:col min="5" max="5" width="19" hidden="0" customWidth="1"/>
    <x:col min="6" max="6" width="12" hidden="0" customWidth="1"/>
    <x:col min="7" max="7" width="19" hidden="0" customWidth="1"/>
    <x:col min="8" max="8" width="19" hidden="0" customWidth="1"/>
  </x:cols>
  <x:sheetData>
    <x:row r="1" ht="28" customHeight="1">
      <x:c r="A1" s="7" t="str">
        <x:v>Order ID</x:v>
      </x:c>
      <x:c r="B1" s="7" t="str">
        <x:v>Date</x:v>
      </x:c>
      <x:c r="C1" s="7" t="str">
        <x:v>Month</x:v>
      </x:c>
      <x:c r="D1" s="7" t="str">
        <x:v>City</x:v>
      </x:c>
      <x:c r="E1" s="7" t="str">
        <x:v>Product</x:v>
      </x:c>
      <x:c r="F1" s="7" t="str">
        <x:v>Units</x:v>
      </x:c>
      <x:c r="G1" s="7" t="str">
        <x:v>Unit Price (£)</x:v>
      </x:c>
      <x:c r="H1" s="7" t="str">
        <x:v>Revenue (£)</x:v>
      </x:c>
    </x:row>
    <x:row r="2">
      <x:c r="A2" t="str">
        <x:v>ORD-001</x:v>
      </x:c>
      <x:c r="B2" s="2" t="n">
        <x:v>46025</x:v>
      </x:c>
      <x:c r="C2" s="2" t="n">
        <x:v>46023</x:v>
      </x:c>
      <x:c r="D2" t="str">
        <x:v>Oxford</x:v>
      </x:c>
      <x:c r="E2" t="str">
        <x:v>Mouse</x:v>
      </x:c>
      <x:c r="F2" t="n">
        <x:v>3</x:v>
      </x:c>
      <x:c r="G2" s="4" t="n">
        <x:v>25</x:v>
      </x:c>
      <x:c r="H2" s="4" t="n">
        <x:f>F2*G2</x:f>
        <x:v>75</x:v>
      </x:c>
    </x:row>
    <x:row r="3">
      <x:c r="A3" t="str">
        <x:v>ORD-002</x:v>
      </x:c>
      <x:c r="B3" s="2" t="n">
        <x:v>46027</x:v>
      </x:c>
      <x:c r="C3" s="2" t="n">
        <x:v>46023</x:v>
      </x:c>
      <x:c r="D3" t="str">
        <x:v>Bristol</x:v>
      </x:c>
      <x:c r="E3" t="str">
        <x:v>Keyboard</x:v>
      </x:c>
      <x:c r="F3" t="n">
        <x:v>4</x:v>
      </x:c>
      <x:c r="G3" s="4" t="n">
        <x:v>40</x:v>
      </x:c>
      <x:c r="H3" s="4" t="n">
        <x:f>F3*G3</x:f>
        <x:v>160</x:v>
      </x:c>
    </x:row>
    <x:row r="4">
      <x:c r="A4" t="str">
        <x:v>ORD-003</x:v>
      </x:c>
      <x:c r="B4" s="2" t="n">
        <x:v>46029</x:v>
      </x:c>
      <x:c r="C4" s="2" t="n">
        <x:v>46023</x:v>
      </x:c>
      <x:c r="D4" t="str">
        <x:v>Reading</x:v>
      </x:c>
      <x:c r="E4" t="str">
        <x:v>Laptop</x:v>
      </x:c>
      <x:c r="F4" t="n">
        <x:v>5</x:v>
      </x:c>
      <x:c r="G4" s="4" t="n">
        <x:v>850</x:v>
      </x:c>
      <x:c r="H4" s="4" t="n">
        <x:f>F4*G4</x:f>
        <x:v>4250</x:v>
      </x:c>
    </x:row>
    <x:row r="5">
      <x:c r="A5" t="str">
        <x:v>ORD-004</x:v>
      </x:c>
      <x:c r="B5" s="2" t="n">
        <x:v>46031</x:v>
      </x:c>
      <x:c r="C5" s="2" t="n">
        <x:v>46023</x:v>
      </x:c>
      <x:c r="D5" t="str">
        <x:v>London</x:v>
      </x:c>
      <x:c r="E5" t="str">
        <x:v>Monitor</x:v>
      </x:c>
      <x:c r="F5" t="n">
        <x:v>6</x:v>
      </x:c>
      <x:c r="G5" s="4" t="n">
        <x:v>220</x:v>
      </x:c>
      <x:c r="H5" s="4" t="n">
        <x:f>F5*G5</x:f>
        <x:v>1320</x:v>
      </x:c>
    </x:row>
    <x:row r="6">
      <x:c r="A6" t="str">
        <x:v>ORD-005</x:v>
      </x:c>
      <x:c r="B6" s="2" t="n">
        <x:v>46033</x:v>
      </x:c>
      <x:c r="C6" s="2" t="n">
        <x:v>46023</x:v>
      </x:c>
      <x:c r="D6" t="str">
        <x:v>Oxford</x:v>
      </x:c>
      <x:c r="E6" t="str">
        <x:v>Headphones</x:v>
      </x:c>
      <x:c r="F6" t="n">
        <x:v>1</x:v>
      </x:c>
      <x:c r="G6" s="4" t="n">
        <x:v>65</x:v>
      </x:c>
      <x:c r="H6" s="4" t="n">
        <x:f>F6*G6</x:f>
        <x:v>65</x:v>
      </x:c>
    </x:row>
    <x:row r="7">
      <x:c r="A7" t="str">
        <x:v>ORD-006</x:v>
      </x:c>
      <x:c r="B7" s="2" t="n">
        <x:v>46035</x:v>
      </x:c>
      <x:c r="C7" s="2" t="n">
        <x:v>46023</x:v>
      </x:c>
      <x:c r="D7" t="str">
        <x:v>Bristol</x:v>
      </x:c>
      <x:c r="E7" t="str">
        <x:v>Mouse</x:v>
      </x:c>
      <x:c r="F7" t="n">
        <x:v>2</x:v>
      </x:c>
      <x:c r="G7" s="4" t="n">
        <x:v>25</x:v>
      </x:c>
      <x:c r="H7" s="4" t="n">
        <x:f>F7*G7</x:f>
        <x:v>50</x:v>
      </x:c>
    </x:row>
    <x:row r="8">
      <x:c r="A8" t="str">
        <x:v>ORD-007</x:v>
      </x:c>
      <x:c r="B8" s="2" t="n">
        <x:v>46037</x:v>
      </x:c>
      <x:c r="C8" s="2" t="n">
        <x:v>46023</x:v>
      </x:c>
      <x:c r="D8" t="str">
        <x:v>Reading</x:v>
      </x:c>
      <x:c r="E8" t="str">
        <x:v>Keyboard</x:v>
      </x:c>
      <x:c r="F8" t="n">
        <x:v>3</x:v>
      </x:c>
      <x:c r="G8" s="4" t="n">
        <x:v>40</x:v>
      </x:c>
      <x:c r="H8" s="4" t="n">
        <x:f>F8*G8</x:f>
        <x:v>120</x:v>
      </x:c>
    </x:row>
    <x:row r="9">
      <x:c r="A9" t="str">
        <x:v>ORD-008</x:v>
      </x:c>
      <x:c r="B9" s="2" t="n">
        <x:v>46039</x:v>
      </x:c>
      <x:c r="C9" s="2" t="n">
        <x:v>46023</x:v>
      </x:c>
      <x:c r="D9" t="str">
        <x:v>London</x:v>
      </x:c>
      <x:c r="E9" t="str">
        <x:v>Laptop</x:v>
      </x:c>
      <x:c r="F9" t="n">
        <x:v>4</x:v>
      </x:c>
      <x:c r="G9" s="4" t="n">
        <x:v>850</x:v>
      </x:c>
      <x:c r="H9" s="4" t="n">
        <x:f>F9*G9</x:f>
        <x:v>3400</x:v>
      </x:c>
    </x:row>
    <x:row r="10">
      <x:c r="A10" t="str">
        <x:v>ORD-009</x:v>
      </x:c>
      <x:c r="B10" s="2" t="n">
        <x:v>46041</x:v>
      </x:c>
      <x:c r="C10" s="2" t="n">
        <x:v>46023</x:v>
      </x:c>
      <x:c r="D10" t="str">
        <x:v>Oxford</x:v>
      </x:c>
      <x:c r="E10" t="str">
        <x:v>Monitor</x:v>
      </x:c>
      <x:c r="F10" t="n">
        <x:v>5</x:v>
      </x:c>
      <x:c r="G10" s="4" t="n">
        <x:v>220</x:v>
      </x:c>
      <x:c r="H10" s="4" t="n">
        <x:f>F10*G10</x:f>
        <x:v>1100</x:v>
      </x:c>
    </x:row>
    <x:row r="11">
      <x:c r="A11" t="str">
        <x:v>ORD-010</x:v>
      </x:c>
      <x:c r="B11" s="2" t="n">
        <x:v>46043</x:v>
      </x:c>
      <x:c r="C11" s="2" t="n">
        <x:v>46023</x:v>
      </x:c>
      <x:c r="D11" t="str">
        <x:v>Bristol</x:v>
      </x:c>
      <x:c r="E11" t="str">
        <x:v>Headphones</x:v>
      </x:c>
      <x:c r="F11" t="n">
        <x:v>6</x:v>
      </x:c>
      <x:c r="G11" s="4" t="n">
        <x:v>65</x:v>
      </x:c>
      <x:c r="H11" s="4" t="n">
        <x:f>F11*G11</x:f>
        <x:v>390</x:v>
      </x:c>
    </x:row>
    <x:row r="12">
      <x:c r="A12" t="str">
        <x:v>ORD-011</x:v>
      </x:c>
      <x:c r="B12" s="2" t="n">
        <x:v>46076</x:v>
      </x:c>
      <x:c r="C12" s="2" t="n">
        <x:v>46054</x:v>
      </x:c>
      <x:c r="D12" t="str">
        <x:v>London</x:v>
      </x:c>
      <x:c r="E12" t="str">
        <x:v>Laptop</x:v>
      </x:c>
      <x:c r="F12" t="n">
        <x:v>2</x:v>
      </x:c>
      <x:c r="G12" s="4" t="n">
        <x:v>850</x:v>
      </x:c>
      <x:c r="H12" s="4" t="n">
        <x:f>F12*G12</x:f>
        <x:v>1700</x:v>
      </x:c>
    </x:row>
    <x:row r="13">
      <x:c r="A13" t="str">
        <x:v>ORD-012</x:v>
      </x:c>
      <x:c r="B13" s="2" t="n">
        <x:v>46078</x:v>
      </x:c>
      <x:c r="C13" s="2" t="n">
        <x:v>46054</x:v>
      </x:c>
      <x:c r="D13" t="str">
        <x:v>Oxford</x:v>
      </x:c>
      <x:c r="E13" t="str">
        <x:v>Monitor</x:v>
      </x:c>
      <x:c r="F13" t="n">
        <x:v>3</x:v>
      </x:c>
      <x:c r="G13" s="4" t="n">
        <x:v>220</x:v>
      </x:c>
      <x:c r="H13" s="4" t="n">
        <x:f>F13*G13</x:f>
        <x:v>660</x:v>
      </x:c>
    </x:row>
    <x:row r="14">
      <x:c r="A14" t="str">
        <x:v>ORD-013</x:v>
      </x:c>
      <x:c r="B14" s="2" t="n">
        <x:v>46080</x:v>
      </x:c>
      <x:c r="C14" s="2" t="n">
        <x:v>46054</x:v>
      </x:c>
      <x:c r="D14" t="str">
        <x:v>Bristol</x:v>
      </x:c>
      <x:c r="E14" t="str">
        <x:v>Headphones</x:v>
      </x:c>
      <x:c r="F14" t="n">
        <x:v>4</x:v>
      </x:c>
      <x:c r="G14" s="4" t="n">
        <x:v>65</x:v>
      </x:c>
      <x:c r="H14" s="4" t="n">
        <x:f>F14*G14</x:f>
        <x:v>260</x:v>
      </x:c>
    </x:row>
    <x:row r="15">
      <x:c r="A15" t="str">
        <x:v>ORD-014</x:v>
      </x:c>
      <x:c r="B15" s="2" t="n">
        <x:v>46055</x:v>
      </x:c>
      <x:c r="C15" s="2" t="n">
        <x:v>46054</x:v>
      </x:c>
      <x:c r="D15" t="str">
        <x:v>Reading</x:v>
      </x:c>
      <x:c r="E15" t="str">
        <x:v>Mouse</x:v>
      </x:c>
      <x:c r="F15" t="n">
        <x:v>5</x:v>
      </x:c>
      <x:c r="G15" s="4" t="n">
        <x:v>25</x:v>
      </x:c>
      <x:c r="H15" s="4" t="n">
        <x:f>F15*G15</x:f>
        <x:v>125</x:v>
      </x:c>
    </x:row>
    <x:row r="16">
      <x:c r="A16" t="str">
        <x:v>ORD-015</x:v>
      </x:c>
      <x:c r="B16" s="2" t="n">
        <x:v>46057</x:v>
      </x:c>
      <x:c r="C16" s="2" t="n">
        <x:v>46054</x:v>
      </x:c>
      <x:c r="D16" t="str">
        <x:v>London</x:v>
      </x:c>
      <x:c r="E16" t="str">
        <x:v>Keyboard</x:v>
      </x:c>
      <x:c r="F16" t="n">
        <x:v>6</x:v>
      </x:c>
      <x:c r="G16" s="4" t="n">
        <x:v>40</x:v>
      </x:c>
      <x:c r="H16" s="4" t="n">
        <x:f>F16*G16</x:f>
        <x:v>240</x:v>
      </x:c>
    </x:row>
    <x:row r="17">
      <x:c r="A17" t="str">
        <x:v>ORD-016</x:v>
      </x:c>
      <x:c r="B17" s="2" t="n">
        <x:v>46059</x:v>
      </x:c>
      <x:c r="C17" s="2" t="n">
        <x:v>46054</x:v>
      </x:c>
      <x:c r="D17" t="str">
        <x:v>Oxford</x:v>
      </x:c>
      <x:c r="E17" t="str">
        <x:v>Laptop</x:v>
      </x:c>
      <x:c r="F17" t="n">
        <x:v>1</x:v>
      </x:c>
      <x:c r="G17" s="4" t="n">
        <x:v>850</x:v>
      </x:c>
      <x:c r="H17" s="4" t="n">
        <x:f>F17*G17</x:f>
        <x:v>850</x:v>
      </x:c>
    </x:row>
    <x:row r="18">
      <x:c r="A18" t="str">
        <x:v>ORD-017</x:v>
      </x:c>
      <x:c r="B18" s="2" t="n">
        <x:v>46061</x:v>
      </x:c>
      <x:c r="C18" s="2" t="n">
        <x:v>46054</x:v>
      </x:c>
      <x:c r="D18" t="str">
        <x:v>Bristol</x:v>
      </x:c>
      <x:c r="E18" t="str">
        <x:v>Monitor</x:v>
      </x:c>
      <x:c r="F18" t="n">
        <x:v>2</x:v>
      </x:c>
      <x:c r="G18" s="4" t="n">
        <x:v>220</x:v>
      </x:c>
      <x:c r="H18" s="4" t="n">
        <x:f>F18*G18</x:f>
        <x:v>440</x:v>
      </x:c>
    </x:row>
    <x:row r="19">
      <x:c r="A19" t="str">
        <x:v>ORD-018</x:v>
      </x:c>
      <x:c r="B19" s="2" t="n">
        <x:v>46063</x:v>
      </x:c>
      <x:c r="C19" s="2" t="n">
        <x:v>46054</x:v>
      </x:c>
      <x:c r="D19" t="str">
        <x:v>Reading</x:v>
      </x:c>
      <x:c r="E19" t="str">
        <x:v>Headphones</x:v>
      </x:c>
      <x:c r="F19" t="n">
        <x:v>3</x:v>
      </x:c>
      <x:c r="G19" s="4" t="n">
        <x:v>65</x:v>
      </x:c>
      <x:c r="H19" s="4" t="n">
        <x:f>F19*G19</x:f>
        <x:v>195</x:v>
      </x:c>
    </x:row>
    <x:row r="20">
      <x:c r="A20" t="str">
        <x:v>ORD-019</x:v>
      </x:c>
      <x:c r="B20" s="2" t="n">
        <x:v>46065</x:v>
      </x:c>
      <x:c r="C20" s="2" t="n">
        <x:v>46054</x:v>
      </x:c>
      <x:c r="D20" t="str">
        <x:v>London</x:v>
      </x:c>
      <x:c r="E20" t="str">
        <x:v>Mouse</x:v>
      </x:c>
      <x:c r="F20" t="n">
        <x:v>4</x:v>
      </x:c>
      <x:c r="G20" s="4" t="n">
        <x:v>25</x:v>
      </x:c>
      <x:c r="H20" s="4" t="n">
        <x:f>F20*G20</x:f>
        <x:v>100</x:v>
      </x:c>
    </x:row>
    <x:row r="21">
      <x:c r="A21" t="str">
        <x:v>ORD-020</x:v>
      </x:c>
      <x:c r="B21" s="2" t="n">
        <x:v>46067</x:v>
      </x:c>
      <x:c r="C21" s="2" t="n">
        <x:v>46054</x:v>
      </x:c>
      <x:c r="D21" t="str">
        <x:v>Oxford</x:v>
      </x:c>
      <x:c r="E21" t="str">
        <x:v>Keyboard</x:v>
      </x:c>
      <x:c r="F21" t="n">
        <x:v>5</x:v>
      </x:c>
      <x:c r="G21" s="4" t="n">
        <x:v>40</x:v>
      </x:c>
      <x:c r="H21" s="4" t="n">
        <x:f>F21*G21</x:f>
        <x:v>200</x:v>
      </x:c>
    </x:row>
    <x:row r="22">
      <x:c r="A22" t="str">
        <x:v>ORD-021</x:v>
      </x:c>
      <x:c r="B22" s="2" t="n">
        <x:v>46097</x:v>
      </x:c>
      <x:c r="C22" s="2" t="n">
        <x:v>46082</x:v>
      </x:c>
      <x:c r="D22" t="str">
        <x:v>Reading</x:v>
      </x:c>
      <x:c r="E22" t="str">
        <x:v>Headphones</x:v>
      </x:c>
      <x:c r="F22" t="n">
        <x:v>1</x:v>
      </x:c>
      <x:c r="G22" s="4" t="n">
        <x:v>65</x:v>
      </x:c>
      <x:c r="H22" s="4" t="n">
        <x:f>F22*G22</x:f>
        <x:v>65</x:v>
      </x:c>
    </x:row>
    <x:row r="23">
      <x:c r="A23" t="str">
        <x:v>ORD-022</x:v>
      </x:c>
      <x:c r="B23" s="2" t="n">
        <x:v>46099</x:v>
      </x:c>
      <x:c r="C23" s="2" t="n">
        <x:v>46082</x:v>
      </x:c>
      <x:c r="D23" t="str">
        <x:v>London</x:v>
      </x:c>
      <x:c r="E23" t="str">
        <x:v>Mouse</x:v>
      </x:c>
      <x:c r="F23" t="n">
        <x:v>2</x:v>
      </x:c>
      <x:c r="G23" s="4" t="n">
        <x:v>25</x:v>
      </x:c>
      <x:c r="H23" s="4" t="n">
        <x:f>F23*G23</x:f>
        <x:v>50</x:v>
      </x:c>
    </x:row>
    <x:row r="24">
      <x:c r="A24" t="str">
        <x:v>ORD-023</x:v>
      </x:c>
      <x:c r="B24" s="2" t="n">
        <x:v>46101</x:v>
      </x:c>
      <x:c r="C24" s="2" t="n">
        <x:v>46082</x:v>
      </x:c>
      <x:c r="D24" t="str">
        <x:v>Oxford</x:v>
      </x:c>
      <x:c r="E24" t="str">
        <x:v>Keyboard</x:v>
      </x:c>
      <x:c r="F24" t="n">
        <x:v>3</x:v>
      </x:c>
      <x:c r="G24" s="4" t="n">
        <x:v>40</x:v>
      </x:c>
      <x:c r="H24" s="4" t="n">
        <x:f>F24*G24</x:f>
        <x:v>120</x:v>
      </x:c>
    </x:row>
    <x:row r="25">
      <x:c r="A25" t="str">
        <x:v>ORD-024</x:v>
      </x:c>
      <x:c r="B25" s="2" t="n">
        <x:v>46103</x:v>
      </x:c>
      <x:c r="C25" s="2" t="n">
        <x:v>46082</x:v>
      </x:c>
      <x:c r="D25" t="str">
        <x:v>Bristol</x:v>
      </x:c>
      <x:c r="E25" t="str">
        <x:v>Laptop</x:v>
      </x:c>
      <x:c r="F25" t="n">
        <x:v>4</x:v>
      </x:c>
      <x:c r="G25" s="4" t="n">
        <x:v>850</x:v>
      </x:c>
      <x:c r="H25" s="4" t="n">
        <x:f>F25*G25</x:f>
        <x:v>3400</x:v>
      </x:c>
    </x:row>
    <x:row r="26">
      <x:c r="A26" t="str">
        <x:v>ORD-025</x:v>
      </x:c>
      <x:c r="B26" s="2" t="n">
        <x:v>46105</x:v>
      </x:c>
      <x:c r="C26" s="2" t="n">
        <x:v>46082</x:v>
      </x:c>
      <x:c r="D26" t="str">
        <x:v>Reading</x:v>
      </x:c>
      <x:c r="E26" t="str">
        <x:v>Monitor</x:v>
      </x:c>
      <x:c r="F26" t="n">
        <x:v>5</x:v>
      </x:c>
      <x:c r="G26" s="4" t="n">
        <x:v>220</x:v>
      </x:c>
      <x:c r="H26" s="4" t="n">
        <x:f>F26*G26</x:f>
        <x:v>1100</x:v>
      </x:c>
    </x:row>
    <x:row r="27">
      <x:c r="A27" t="str">
        <x:v>ORD-026</x:v>
      </x:c>
      <x:c r="B27" s="2" t="n">
        <x:v>46107</x:v>
      </x:c>
      <x:c r="C27" s="2" t="n">
        <x:v>46082</x:v>
      </x:c>
      <x:c r="D27" t="str">
        <x:v>London</x:v>
      </x:c>
      <x:c r="E27" t="str">
        <x:v>Headphones</x:v>
      </x:c>
      <x:c r="F27" t="n">
        <x:v>6</x:v>
      </x:c>
      <x:c r="G27" s="4" t="n">
        <x:v>65</x:v>
      </x:c>
      <x:c r="H27" s="4" t="n">
        <x:f>F27*G27</x:f>
        <x:v>390</x:v>
      </x:c>
    </x:row>
    <x:row r="28">
      <x:c r="A28" t="str">
        <x:v>ORD-027</x:v>
      </x:c>
      <x:c r="B28" s="2" t="n">
        <x:v>46082</x:v>
      </x:c>
      <x:c r="C28" s="2" t="n">
        <x:v>46082</x:v>
      </x:c>
      <x:c r="D28" t="str">
        <x:v>Oxford</x:v>
      </x:c>
      <x:c r="E28" t="str">
        <x:v>Mouse</x:v>
      </x:c>
      <x:c r="F28" t="n">
        <x:v>1</x:v>
      </x:c>
      <x:c r="G28" s="4" t="n">
        <x:v>25</x:v>
      </x:c>
      <x:c r="H28" s="4" t="n">
        <x:f>F28*G28</x:f>
        <x:v>25</x:v>
      </x:c>
    </x:row>
    <x:row r="29">
      <x:c r="A29" t="str">
        <x:v>ORD-028</x:v>
      </x:c>
      <x:c r="B29" s="2" t="n">
        <x:v>46084</x:v>
      </x:c>
      <x:c r="C29" s="2" t="n">
        <x:v>46082</x:v>
      </x:c>
      <x:c r="D29" t="str">
        <x:v>Bristol</x:v>
      </x:c>
      <x:c r="E29" t="str">
        <x:v>Keyboard</x:v>
      </x:c>
      <x:c r="F29" t="n">
        <x:v>2</x:v>
      </x:c>
      <x:c r="G29" s="4" t="n">
        <x:v>40</x:v>
      </x:c>
      <x:c r="H29" s="4" t="n">
        <x:f>F29*G29</x:f>
        <x:v>80</x:v>
      </x:c>
    </x:row>
    <x:row r="30">
      <x:c r="A30" t="str">
        <x:v>ORD-029</x:v>
      </x:c>
      <x:c r="B30" s="2" t="n">
        <x:v>46086</x:v>
      </x:c>
      <x:c r="C30" s="2" t="n">
        <x:v>46082</x:v>
      </x:c>
      <x:c r="D30" t="str">
        <x:v>Reading</x:v>
      </x:c>
      <x:c r="E30" t="str">
        <x:v>Laptop</x:v>
      </x:c>
      <x:c r="F30" t="n">
        <x:v>3</x:v>
      </x:c>
      <x:c r="G30" s="4" t="n">
        <x:v>850</x:v>
      </x:c>
      <x:c r="H30" s="4" t="n">
        <x:f>F30*G30</x:f>
        <x:v>2550</x:v>
      </x:c>
    </x:row>
    <x:row r="31">
      <x:c r="A31" t="str">
        <x:v>ORD-030</x:v>
      </x:c>
      <x:c r="B31" s="2" t="n">
        <x:v>46088</x:v>
      </x:c>
      <x:c r="C31" s="2" t="n">
        <x:v>46082</x:v>
      </x:c>
      <x:c r="D31" t="str">
        <x:v>London</x:v>
      </x:c>
      <x:c r="E31" t="str">
        <x:v>Monitor</x:v>
      </x:c>
      <x:c r="F31" t="n">
        <x:v>4</x:v>
      </x:c>
      <x:c r="G31" s="4" t="n">
        <x:v>220</x:v>
      </x:c>
      <x:c r="H31" s="4" t="n">
        <x:f>F31*G31</x:f>
        <x:v>880</x:v>
      </x:c>
    </x:row>
    <x:row r="32">
      <x:c r="A32" t="str">
        <x:v>ORD-031</x:v>
      </x:c>
      <x:c r="B32" s="2" t="n">
        <x:v>46121</x:v>
      </x:c>
      <x:c r="C32" s="2" t="n">
        <x:v>46113</x:v>
      </x:c>
      <x:c r="D32" t="str">
        <x:v>Bristol</x:v>
      </x:c>
      <x:c r="E32" t="str">
        <x:v>Keyboard</x:v>
      </x:c>
      <x:c r="F32" t="n">
        <x:v>6</x:v>
      </x:c>
      <x:c r="G32" s="4" t="n">
        <x:v>40</x:v>
      </x:c>
      <x:c r="H32" s="4" t="n">
        <x:f>F32*G32</x:f>
        <x:v>240</x:v>
      </x:c>
    </x:row>
    <x:row r="33">
      <x:c r="A33" t="str">
        <x:v>ORD-032</x:v>
      </x:c>
      <x:c r="B33" s="2" t="n">
        <x:v>46123</x:v>
      </x:c>
      <x:c r="C33" s="2" t="n">
        <x:v>46113</x:v>
      </x:c>
      <x:c r="D33" t="str">
        <x:v>Reading</x:v>
      </x:c>
      <x:c r="E33" t="str">
        <x:v>Laptop</x:v>
      </x:c>
      <x:c r="F33" t="n">
        <x:v>1</x:v>
      </x:c>
      <x:c r="G33" s="4" t="n">
        <x:v>850</x:v>
      </x:c>
      <x:c r="H33" s="4" t="n">
        <x:f>F33*G33</x:f>
        <x:v>850</x:v>
      </x:c>
    </x:row>
    <x:row r="34">
      <x:c r="A34" t="str">
        <x:v>ORD-033</x:v>
      </x:c>
      <x:c r="B34" s="2" t="n">
        <x:v>46125</x:v>
      </x:c>
      <x:c r="C34" s="2" t="n">
        <x:v>46113</x:v>
      </x:c>
      <x:c r="D34" t="str">
        <x:v>London</x:v>
      </x:c>
      <x:c r="E34" t="str">
        <x:v>Monitor</x:v>
      </x:c>
      <x:c r="F34" t="n">
        <x:v>2</x:v>
      </x:c>
      <x:c r="G34" s="4" t="n">
        <x:v>220</x:v>
      </x:c>
      <x:c r="H34" s="4" t="n">
        <x:f>F34*G34</x:f>
        <x:v>440</x:v>
      </x:c>
    </x:row>
    <x:row r="35">
      <x:c r="A35" t="str">
        <x:v>ORD-034</x:v>
      </x:c>
      <x:c r="B35" s="2" t="n">
        <x:v>46127</x:v>
      </x:c>
      <x:c r="C35" s="2" t="n">
        <x:v>46113</x:v>
      </x:c>
      <x:c r="D35" t="str">
        <x:v>Oxford</x:v>
      </x:c>
      <x:c r="E35" t="str">
        <x:v>Headphones</x:v>
      </x:c>
      <x:c r="F35" t="n">
        <x:v>3</x:v>
      </x:c>
      <x:c r="G35" s="4" t="n">
        <x:v>65</x:v>
      </x:c>
      <x:c r="H35" s="4" t="n">
        <x:f>F35*G35</x:f>
        <x:v>195</x:v>
      </x:c>
    </x:row>
    <x:row r="36">
      <x:c r="A36" t="str">
        <x:v>ORD-035</x:v>
      </x:c>
      <x:c r="B36" s="2" t="n">
        <x:v>46129</x:v>
      </x:c>
      <x:c r="C36" s="2" t="n">
        <x:v>46113</x:v>
      </x:c>
      <x:c r="D36" t="str">
        <x:v>Bristol</x:v>
      </x:c>
      <x:c r="E36" t="str">
        <x:v>Mouse</x:v>
      </x:c>
      <x:c r="F36" t="n">
        <x:v>4</x:v>
      </x:c>
      <x:c r="G36" s="4" t="n">
        <x:v>25</x:v>
      </x:c>
      <x:c r="H36" s="4" t="n">
        <x:f>F36*G36</x:f>
        <x:v>100</x:v>
      </x:c>
    </x:row>
    <x:row r="37">
      <x:c r="A37" t="str">
        <x:v>ORD-036</x:v>
      </x:c>
      <x:c r="B37" s="2" t="n">
        <x:v>46131</x:v>
      </x:c>
      <x:c r="C37" s="2" t="n">
        <x:v>46113</x:v>
      </x:c>
      <x:c r="D37" t="str">
        <x:v>Reading</x:v>
      </x:c>
      <x:c r="E37" t="str">
        <x:v>Keyboard</x:v>
      </x:c>
      <x:c r="F37" t="n">
        <x:v>5</x:v>
      </x:c>
      <x:c r="G37" s="4" t="n">
        <x:v>40</x:v>
      </x:c>
      <x:c r="H37" s="4" t="n">
        <x:f>F37*G37</x:f>
        <x:v>200</x:v>
      </x:c>
    </x:row>
    <x:row r="38">
      <x:c r="A38" t="str">
        <x:v>ORD-037</x:v>
      </x:c>
      <x:c r="B38" s="2" t="n">
        <x:v>46133</x:v>
      </x:c>
      <x:c r="C38" s="2" t="n">
        <x:v>46113</x:v>
      </x:c>
      <x:c r="D38" t="str">
        <x:v>London</x:v>
      </x:c>
      <x:c r="E38" t="str">
        <x:v>Laptop</x:v>
      </x:c>
      <x:c r="F38" t="n">
        <x:v>6</x:v>
      </x:c>
      <x:c r="G38" s="4" t="n">
        <x:v>850</x:v>
      </x:c>
      <x:c r="H38" s="4" t="n">
        <x:f>F38*G38</x:f>
        <x:v>5100</x:v>
      </x:c>
    </x:row>
    <x:row r="39">
      <x:c r="A39" t="str">
        <x:v>ORD-038</x:v>
      </x:c>
      <x:c r="B39" s="2" t="n">
        <x:v>46135</x:v>
      </x:c>
      <x:c r="C39" s="2" t="n">
        <x:v>46113</x:v>
      </x:c>
      <x:c r="D39" t="str">
        <x:v>Oxford</x:v>
      </x:c>
      <x:c r="E39" t="str">
        <x:v>Monitor</x:v>
      </x:c>
      <x:c r="F39" t="n">
        <x:v>1</x:v>
      </x:c>
      <x:c r="G39" s="4" t="n">
        <x:v>220</x:v>
      </x:c>
      <x:c r="H39" s="4" t="n">
        <x:f>F39*G39</x:f>
        <x:v>220</x:v>
      </x:c>
    </x:row>
    <x:row r="40">
      <x:c r="A40" t="str">
        <x:v>ORD-039</x:v>
      </x:c>
      <x:c r="B40" s="2" t="n">
        <x:v>46137</x:v>
      </x:c>
      <x:c r="C40" s="2" t="n">
        <x:v>46113</x:v>
      </x:c>
      <x:c r="D40" t="str">
        <x:v>Bristol</x:v>
      </x:c>
      <x:c r="E40" t="str">
        <x:v>Headphones</x:v>
      </x:c>
      <x:c r="F40" t="n">
        <x:v>2</x:v>
      </x:c>
      <x:c r="G40" s="4" t="n">
        <x:v>65</x:v>
      </x:c>
      <x:c r="H40" s="4" t="n">
        <x:f>F40*G40</x:f>
        <x:v>130</x:v>
      </x:c>
    </x:row>
    <x:row r="41">
      <x:c r="A41" t="str">
        <x:v>ORD-040</x:v>
      </x:c>
      <x:c r="B41" s="2" t="n">
        <x:v>46139</x:v>
      </x:c>
      <x:c r="C41" s="2" t="n">
        <x:v>46113</x:v>
      </x:c>
      <x:c r="D41" t="str">
        <x:v>Reading</x:v>
      </x:c>
      <x:c r="E41" t="str">
        <x:v>Mouse</x:v>
      </x:c>
      <x:c r="F41" t="n">
        <x:v>3</x:v>
      </x:c>
      <x:c r="G41" s="4" t="n">
        <x:v>25</x:v>
      </x:c>
      <x:c r="H41" s="4" t="n">
        <x:f>F41*G41</x:f>
        <x:v>75</x:v>
      </x:c>
    </x:row>
    <x:row r="42">
      <x:c r="A42" t="str">
        <x:v>ORD-041</x:v>
      </x:c>
      <x:c r="B42" s="2" t="n">
        <x:v>46144</x:v>
      </x:c>
      <x:c r="C42" s="2" t="n">
        <x:v>46143</x:v>
      </x:c>
      <x:c r="D42" t="str">
        <x:v>Oxford</x:v>
      </x:c>
      <x:c r="E42" t="str">
        <x:v>Monitor</x:v>
      </x:c>
      <x:c r="F42" t="n">
        <x:v>5</x:v>
      </x:c>
      <x:c r="G42" s="4" t="n">
        <x:v>220</x:v>
      </x:c>
      <x:c r="H42" s="4" t="n">
        <x:f>F42*G42</x:f>
        <x:v>1100</x:v>
      </x:c>
    </x:row>
    <x:row r="43">
      <x:c r="A43" t="str">
        <x:v>ORD-042</x:v>
      </x:c>
      <x:c r="B43" s="2" t="n">
        <x:v>46146</x:v>
      </x:c>
      <x:c r="C43" s="2" t="n">
        <x:v>46143</x:v>
      </x:c>
      <x:c r="D43" t="str">
        <x:v>Bristol</x:v>
      </x:c>
      <x:c r="E43" t="str">
        <x:v>Headphones</x:v>
      </x:c>
      <x:c r="F43" t="n">
        <x:v>6</x:v>
      </x:c>
      <x:c r="G43" s="4" t="n">
        <x:v>65</x:v>
      </x:c>
      <x:c r="H43" s="4" t="n">
        <x:f>F43*G43</x:f>
        <x:v>390</x:v>
      </x:c>
    </x:row>
    <x:row r="44">
      <x:c r="A44" t="str">
        <x:v>ORD-043</x:v>
      </x:c>
      <x:c r="B44" s="2" t="n">
        <x:v>46148</x:v>
      </x:c>
      <x:c r="C44" s="2" t="n">
        <x:v>46143</x:v>
      </x:c>
      <x:c r="D44" t="str">
        <x:v>Reading</x:v>
      </x:c>
      <x:c r="E44" t="str">
        <x:v>Mouse</x:v>
      </x:c>
      <x:c r="F44" t="n">
        <x:v>1</x:v>
      </x:c>
      <x:c r="G44" s="4" t="n">
        <x:v>25</x:v>
      </x:c>
      <x:c r="H44" s="4" t="n">
        <x:f>F44*G44</x:f>
        <x:v>25</x:v>
      </x:c>
    </x:row>
    <x:row r="45">
      <x:c r="A45" t="str">
        <x:v>ORD-044</x:v>
      </x:c>
      <x:c r="B45" s="2" t="n">
        <x:v>46150</x:v>
      </x:c>
      <x:c r="C45" s="2" t="n">
        <x:v>46143</x:v>
      </x:c>
      <x:c r="D45" t="str">
        <x:v>London</x:v>
      </x:c>
      <x:c r="E45" t="str">
        <x:v>Keyboard</x:v>
      </x:c>
      <x:c r="F45" t="n">
        <x:v>2</x:v>
      </x:c>
      <x:c r="G45" s="4" t="n">
        <x:v>40</x:v>
      </x:c>
      <x:c r="H45" s="4" t="n">
        <x:f>F45*G45</x:f>
        <x:v>80</x:v>
      </x:c>
    </x:row>
    <x:row r="46">
      <x:c r="A46" t="str">
        <x:v>ORD-045</x:v>
      </x:c>
      <x:c r="B46" s="2" t="n">
        <x:v>46152</x:v>
      </x:c>
      <x:c r="C46" s="2" t="n">
        <x:v>46143</x:v>
      </x:c>
      <x:c r="D46" t="str">
        <x:v>Oxford</x:v>
      </x:c>
      <x:c r="E46" t="str">
        <x:v>Laptop</x:v>
      </x:c>
      <x:c r="F46" t="n">
        <x:v>3</x:v>
      </x:c>
      <x:c r="G46" s="4" t="n">
        <x:v>850</x:v>
      </x:c>
      <x:c r="H46" s="4" t="n">
        <x:f>F46*G46</x:f>
        <x:v>2550</x:v>
      </x:c>
    </x:row>
    <x:row r="47">
      <x:c r="A47" t="str">
        <x:v>ORD-046</x:v>
      </x:c>
      <x:c r="B47" s="2" t="n">
        <x:v>46154</x:v>
      </x:c>
      <x:c r="C47" s="2" t="n">
        <x:v>46143</x:v>
      </x:c>
      <x:c r="D47" t="str">
        <x:v>Bristol</x:v>
      </x:c>
      <x:c r="E47" t="str">
        <x:v>Monitor</x:v>
      </x:c>
      <x:c r="F47" t="n">
        <x:v>4</x:v>
      </x:c>
      <x:c r="G47" s="4" t="n">
        <x:v>220</x:v>
      </x:c>
      <x:c r="H47" s="4" t="n">
        <x:f>F47*G47</x:f>
        <x:v>880</x:v>
      </x:c>
    </x:row>
    <x:row r="48">
      <x:c r="A48" t="str">
        <x:v>ORD-047</x:v>
      </x:c>
      <x:c r="B48" s="2" t="n">
        <x:v>46156</x:v>
      </x:c>
      <x:c r="C48" s="2" t="n">
        <x:v>46143</x:v>
      </x:c>
      <x:c r="D48" t="str">
        <x:v>Reading</x:v>
      </x:c>
      <x:c r="E48" t="str">
        <x:v>Headphones</x:v>
      </x:c>
      <x:c r="F48" t="n">
        <x:v>5</x:v>
      </x:c>
      <x:c r="G48" s="4" t="n">
        <x:v>65</x:v>
      </x:c>
      <x:c r="H48" s="4" t="n">
        <x:f>F48*G48</x:f>
        <x:v>325</x:v>
      </x:c>
    </x:row>
    <x:row r="49">
      <x:c r="A49" t="str">
        <x:v>ORD-048</x:v>
      </x:c>
      <x:c r="B49" s="2" t="n">
        <x:v>46158</x:v>
      </x:c>
      <x:c r="C49" s="2" t="n">
        <x:v>46143</x:v>
      </x:c>
      <x:c r="D49" t="str">
        <x:v>London</x:v>
      </x:c>
      <x:c r="E49" t="str">
        <x:v>Mouse</x:v>
      </x:c>
      <x:c r="F49" t="n">
        <x:v>6</x:v>
      </x:c>
      <x:c r="G49" s="4" t="n">
        <x:v>25</x:v>
      </x:c>
      <x:c r="H49" s="4" t="n">
        <x:f>F49*G49</x:f>
        <x:v>150</x:v>
      </x:c>
    </x:row>
    <x:row r="50">
      <x:c r="A50" t="str">
        <x:v>ORD-049</x:v>
      </x:c>
      <x:c r="B50" s="2" t="n">
        <x:v>46160</x:v>
      </x:c>
      <x:c r="C50" s="2" t="n">
        <x:v>46143</x:v>
      </x:c>
      <x:c r="D50" t="str">
        <x:v>Oxford</x:v>
      </x:c>
      <x:c r="E50" t="str">
        <x:v>Keyboard</x:v>
      </x:c>
      <x:c r="F50" t="n">
        <x:v>1</x:v>
      </x:c>
      <x:c r="G50" s="4" t="n">
        <x:v>40</x:v>
      </x:c>
      <x:c r="H50" s="4" t="n">
        <x:f>F50*G50</x:f>
        <x:v>40</x:v>
      </x:c>
    </x:row>
    <x:row r="51">
      <x:c r="A51" t="str">
        <x:v>ORD-050</x:v>
      </x:c>
      <x:c r="B51" s="2" t="n">
        <x:v>46162</x:v>
      </x:c>
      <x:c r="C51" s="2" t="n">
        <x:v>46143</x:v>
      </x:c>
      <x:c r="D51" t="str">
        <x:v>Bristol</x:v>
      </x:c>
      <x:c r="E51" t="str">
        <x:v>Laptop</x:v>
      </x:c>
      <x:c r="F51" t="n">
        <x:v>2</x:v>
      </x:c>
      <x:c r="G51" s="4" t="n">
        <x:v>850</x:v>
      </x:c>
      <x:c r="H51" s="4" t="n">
        <x:f>F51*G51</x:f>
        <x:v>1700</x:v>
      </x:c>
    </x:row>
    <x:row r="52">
      <x:c r="A52" t="str">
        <x:v>ORD-051</x:v>
      </x:c>
      <x:c r="B52" s="2" t="n">
        <x:v>46195</x:v>
      </x:c>
      <x:c r="C52" s="2" t="n">
        <x:v>46174</x:v>
      </x:c>
      <x:c r="D52" t="str">
        <x:v>London</x:v>
      </x:c>
      <x:c r="E52" t="str">
        <x:v>Mouse</x:v>
      </x:c>
      <x:c r="F52" t="n">
        <x:v>4</x:v>
      </x:c>
      <x:c r="G52" s="4" t="n">
        <x:v>25</x:v>
      </x:c>
      <x:c r="H52" s="4" t="n">
        <x:f>F52*G52</x:f>
        <x:v>100</x:v>
      </x:c>
    </x:row>
    <x:row r="53">
      <x:c r="A53" t="str">
        <x:v>ORD-052</x:v>
      </x:c>
      <x:c r="B53" s="2" t="n">
        <x:v>46197</x:v>
      </x:c>
      <x:c r="C53" s="2" t="n">
        <x:v>46174</x:v>
      </x:c>
      <x:c r="D53" t="str">
        <x:v>Oxford</x:v>
      </x:c>
      <x:c r="E53" t="str">
        <x:v>Keyboard</x:v>
      </x:c>
      <x:c r="F53" t="n">
        <x:v>5</x:v>
      </x:c>
      <x:c r="G53" s="4" t="n">
        <x:v>40</x:v>
      </x:c>
      <x:c r="H53" s="4" t="n">
        <x:f>F53*G53</x:f>
        <x:v>200</x:v>
      </x:c>
    </x:row>
    <x:row r="54">
      <x:c r="A54" t="str">
        <x:v>ORD-053</x:v>
      </x:c>
      <x:c r="B54" s="2" t="n">
        <x:v>46199</x:v>
      </x:c>
      <x:c r="C54" s="2" t="n">
        <x:v>46174</x:v>
      </x:c>
      <x:c r="D54" t="str">
        <x:v>Bristol</x:v>
      </x:c>
      <x:c r="E54" t="str">
        <x:v>Laptop</x:v>
      </x:c>
      <x:c r="F54" t="n">
        <x:v>6</x:v>
      </x:c>
      <x:c r="G54" s="4" t="n">
        <x:v>850</x:v>
      </x:c>
      <x:c r="H54" s="4" t="n">
        <x:f>F54*G54</x:f>
        <x:v>5100</x:v>
      </x:c>
    </x:row>
    <x:row r="55">
      <x:c r="A55" t="str">
        <x:v>ORD-054</x:v>
      </x:c>
      <x:c r="B55" s="2" t="n">
        <x:v>46174</x:v>
      </x:c>
      <x:c r="C55" s="2" t="n">
        <x:v>46174</x:v>
      </x:c>
      <x:c r="D55" t="str">
        <x:v>Reading</x:v>
      </x:c>
      <x:c r="E55" t="str">
        <x:v>Monitor</x:v>
      </x:c>
      <x:c r="F55" t="n">
        <x:v>1</x:v>
      </x:c>
      <x:c r="G55" s="4" t="n">
        <x:v>220</x:v>
      </x:c>
      <x:c r="H55" s="4" t="n">
        <x:f>F55*G55</x:f>
        <x:v>220</x:v>
      </x:c>
    </x:row>
    <x:row r="56">
      <x:c r="A56" t="str">
        <x:v>ORD-055</x:v>
      </x:c>
      <x:c r="B56" s="2" t="n">
        <x:v>46176</x:v>
      </x:c>
      <x:c r="C56" s="2" t="n">
        <x:v>46174</x:v>
      </x:c>
      <x:c r="D56" t="str">
        <x:v>London</x:v>
      </x:c>
      <x:c r="E56" t="str">
        <x:v>Headphones</x:v>
      </x:c>
      <x:c r="F56" t="n">
        <x:v>2</x:v>
      </x:c>
      <x:c r="G56" s="4" t="n">
        <x:v>65</x:v>
      </x:c>
      <x:c r="H56" s="4" t="n">
        <x:f>F56*G56</x:f>
        <x:v>130</x:v>
      </x:c>
    </x:row>
    <x:row r="57">
      <x:c r="A57" t="str">
        <x:v>ORD-056</x:v>
      </x:c>
      <x:c r="B57" s="2" t="n">
        <x:v>46178</x:v>
      </x:c>
      <x:c r="C57" s="2" t="n">
        <x:v>46174</x:v>
      </x:c>
      <x:c r="D57" t="str">
        <x:v>Oxford</x:v>
      </x:c>
      <x:c r="E57" t="str">
        <x:v>Mouse</x:v>
      </x:c>
      <x:c r="F57" t="n">
        <x:v>3</x:v>
      </x:c>
      <x:c r="G57" s="4" t="n">
        <x:v>25</x:v>
      </x:c>
      <x:c r="H57" s="4" t="n">
        <x:f>F57*G57</x:f>
        <x:v>75</x:v>
      </x:c>
    </x:row>
    <x:row r="58">
      <x:c r="A58" t="str">
        <x:v>ORD-057</x:v>
      </x:c>
      <x:c r="B58" s="2" t="n">
        <x:v>46180</x:v>
      </x:c>
      <x:c r="C58" s="2" t="n">
        <x:v>46174</x:v>
      </x:c>
      <x:c r="D58" t="str">
        <x:v>Bristol</x:v>
      </x:c>
      <x:c r="E58" t="str">
        <x:v>Keyboard</x:v>
      </x:c>
      <x:c r="F58" t="n">
        <x:v>4</x:v>
      </x:c>
      <x:c r="G58" s="4" t="n">
        <x:v>40</x:v>
      </x:c>
      <x:c r="H58" s="4" t="n">
        <x:f>F58*G58</x:f>
        <x:v>160</x:v>
      </x:c>
    </x:row>
    <x:row r="59">
      <x:c r="A59" t="str">
        <x:v>ORD-058</x:v>
      </x:c>
      <x:c r="B59" s="2" t="n">
        <x:v>46182</x:v>
      </x:c>
      <x:c r="C59" s="2" t="n">
        <x:v>46174</x:v>
      </x:c>
      <x:c r="D59" t="str">
        <x:v>Reading</x:v>
      </x:c>
      <x:c r="E59" t="str">
        <x:v>Laptop</x:v>
      </x:c>
      <x:c r="F59" t="n">
        <x:v>5</x:v>
      </x:c>
      <x:c r="G59" s="4" t="n">
        <x:v>850</x:v>
      </x:c>
      <x:c r="H59" s="4" t="n">
        <x:f>F59*G59</x:f>
        <x:v>4250</x:v>
      </x:c>
    </x:row>
    <x:row r="60">
      <x:c r="A60" t="str">
        <x:v>ORD-059</x:v>
      </x:c>
      <x:c r="B60" s="2" t="n">
        <x:v>46184</x:v>
      </x:c>
      <x:c r="C60" s="2" t="n">
        <x:v>46174</x:v>
      </x:c>
      <x:c r="D60" t="str">
        <x:v>London</x:v>
      </x:c>
      <x:c r="E60" t="str">
        <x:v>Monitor</x:v>
      </x:c>
      <x:c r="F60" t="n">
        <x:v>6</x:v>
      </x:c>
      <x:c r="G60" s="4" t="n">
        <x:v>220</x:v>
      </x:c>
      <x:c r="H60" s="4" t="n">
        <x:f>F60*G60</x:f>
        <x:v>1320</x:v>
      </x:c>
    </x:row>
    <x:row r="61">
      <x:c r="A61" t="str">
        <x:v>ORD-060</x:v>
      </x:c>
      <x:c r="B61" s="2" t="n">
        <x:v>46186</x:v>
      </x:c>
      <x:c r="C61" s="2" t="n">
        <x:v>46174</x:v>
      </x:c>
      <x:c r="D61" t="str">
        <x:v>Oxford</x:v>
      </x:c>
      <x:c r="E61" t="str">
        <x:v>Headphones</x:v>
      </x:c>
      <x:c r="F61" t="n">
        <x:v>1</x:v>
      </x:c>
      <x:c r="G61" s="4" t="n">
        <x:v>65</x:v>
      </x:c>
      <x:c r="H61" s="4" t="n">
        <x:f>F61*G61</x:f>
        <x:v>65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4" max="4" width="26" hidden="0" customWidth="1"/>
    <x:col min="2" max="2" width="20" hidden="0" customWidth="1"/>
    <x:col min="5" max="5" width="20" hidden="0" customWidth="1"/>
  </x:cols>
  <x:sheetData>
    <x:row r="1" ht="26" customHeight="1">
      <x:c r="A1" s="7" t="str">
        <x:v>Sales summary</x:v>
      </x:c>
      <x:c r="B1" s="7" t="str">
        <x:v>Value</x:v>
      </x:c>
      <x:c r="D1" s="7" t="str">
        <x:v>Product</x:v>
      </x:c>
      <x:c r="E1" s="7" t="str">
        <x:v>Revenue (£)</x:v>
      </x:c>
    </x:row>
    <x:row r="2">
      <x:c r="A2" t="str">
        <x:v>Total revenue</x:v>
      </x:c>
      <x:c r="B2" s="4" t="n">
        <x:f>SUM('Sales Data'!H2:H61)</x:f>
        <x:v>50770</x:v>
      </x:c>
      <x:c r="D2" t="str">
        <x:v>Laptop</x:v>
      </x:c>
      <x:c r="E2" s="4" t="n">
        <x:f>SUMIF('Sales Data'!E$2:E$61,D2,'Sales Data'!H$2:H$61)</x:f>
        <x:v>35700</x:v>
      </x:c>
    </x:row>
    <x:row r="3">
      <x:c r="A3" t="str">
        <x:v>Total orders</x:v>
      </x:c>
      <x:c r="B3" t="n">
        <x:f>COUNTA('Sales Data'!A2:A61)</x:f>
        <x:v>60</x:v>
      </x:c>
      <x:c r="D3" t="str">
        <x:v>Headphones</x:v>
      </x:c>
      <x:c r="E3" s="4" t="n">
        <x:f>SUMIF('Sales Data'!E$2:E$61,D3,'Sales Data'!H$2:H$61)</x:f>
        <x:v>2600</x:v>
      </x:c>
    </x:row>
    <x:row r="4">
      <x:c r="A4" t="str">
        <x:v>Total units</x:v>
      </x:c>
      <x:c r="B4" t="n">
        <x:f>SUM('Sales Data'!F2:F61)</x:f>
        <x:v>210</x:v>
      </x:c>
      <x:c r="D4" t="str">
        <x:v>Keyboard</x:v>
      </x:c>
      <x:c r="E4" s="4" t="n">
        <x:f>SUMIF('Sales Data'!E$2:E$61,D4,'Sales Data'!H$2:H$61)</x:f>
        <x:v>1840</x:v>
      </x:c>
    </x:row>
    <x:row r="5">
      <x:c r="A5" t="str">
        <x:v>Average order revenue</x:v>
      </x:c>
      <x:c r="B5" s="4" t="n">
        <x:f>B2/B3</x:f>
        <x:v>846.1666666666666</x:v>
      </x:c>
      <x:c r="D5" t="str">
        <x:v>Monitor</x:v>
      </x:c>
      <x:c r="E5" s="4" t="n">
        <x:f>SUMIF('Sales Data'!E$2:E$61,D5,'Sales Data'!H$2:H$61)</x:f>
        <x:v>9680</x:v>
      </x:c>
    </x:row>
    <x:row r="6">
      <x:c r="A6" t="str">
        <x:v>Highest-value order</x:v>
      </x:c>
      <x:c r="B6" s="4" t="n">
        <x:f>MAX('Sales Data'!H2:H61)</x:f>
        <x:v>5100</x:v>
      </x:c>
      <x:c r="D6" t="str">
        <x:v>Mouse</x:v>
      </x:c>
      <x:c r="E6" s="4" t="n">
        <x:f>SUMIF('Sales Data'!E$2:E$61,D6,'Sales Data'!H$2:H$61)</x:f>
        <x:v>950</x:v>
      </x:c>
    </x:row>
    <x:row r="9" ht="26" customHeight="1">
      <x:c r="A9" s="7" t="str">
        <x:v>Month</x:v>
      </x:c>
      <x:c r="B9" s="7" t="str">
        <x:v>Revenue (£)</x:v>
      </x:c>
    </x:row>
    <x:row r="10">
      <x:c r="A10" s="10" t="n">
        <x:v>46023</x:v>
      </x:c>
      <x:c r="B10" s="4" t="n">
        <x:f>SUMIF('Sales Data'!C$2:C$61,A10,'Sales Data'!H$2:H$61)</x:f>
        <x:v>10930</x:v>
      </x:c>
    </x:row>
    <x:row r="11">
      <x:c r="A11" s="10" t="n">
        <x:v>46054</x:v>
      </x:c>
      <x:c r="B11" s="4" t="n">
        <x:f>SUMIF('Sales Data'!C$2:C$61,A11,'Sales Data'!H$2:H$61)</x:f>
        <x:v>4770</x:v>
      </x:c>
    </x:row>
    <x:row r="12">
      <x:c r="A12" s="10" t="n">
        <x:v>46082</x:v>
      </x:c>
      <x:c r="B12" s="4" t="n">
        <x:f>SUMIF('Sales Data'!C$2:C$61,A12,'Sales Data'!H$2:H$61)</x:f>
        <x:v>8660</x:v>
      </x:c>
    </x:row>
    <x:row r="13">
      <x:c r="A13" s="10" t="n">
        <x:v>46113</x:v>
      </x:c>
      <x:c r="B13" s="4" t="n">
        <x:f>SUMIF('Sales Data'!C$2:C$61,A13,'Sales Data'!H$2:H$61)</x:f>
        <x:v>7550</x:v>
      </x:c>
    </x:row>
    <x:row r="14">
      <x:c r="A14" s="10" t="n">
        <x:v>46143</x:v>
      </x:c>
      <x:c r="B14" s="4" t="n">
        <x:f>SUMIF('Sales Data'!C$2:C$61,A14,'Sales Data'!H$2:H$61)</x:f>
        <x:v>7240</x:v>
      </x:c>
    </x:row>
    <x:row r="15">
      <x:c r="A15" s="10" t="n">
        <x:v>46174</x:v>
      </x:c>
      <x:c r="B15" s="4" t="n">
        <x:f>SUMIF('Sales Data'!C$2:C$61,A15,'Sales Data'!H$2:H$61)</x:f>
        <x:v>11620</x:v>
      </x:c>
    </x:row>
  </x:sheetData>
  <x:pageMargins left="0.7" right="0.7" top="0.75" bottom="0.75" header="0.3" footer="0.3"/>
  <x:drawing xmlns:r="http://schemas.openxmlformats.org/officeDocument/2006/relationships" r:id="R611403d15d12462e"/>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5" hidden="0" customWidth="1"/>
    <x:col min="3" max="3" width="105" hidden="0" customWidth="1"/>
    <x:col min="4" max="4" width="55" hidden="0" customWidth="1"/>
  </x:cols>
  <x:sheetData>
    <x:row r="1" ht="28" customHeight="1">
      <x:c r="A1" s="7" t="str">
        <x:v>Step</x:v>
      </x:c>
      <x:c r="B1" s="7" t="str">
        <x:v>Skill</x:v>
      </x:c>
      <x:c r="C1" s="7" t="str">
        <x:v>Try this prompt</x:v>
      </x:c>
      <x:c r="D1" s="7" t="str">
        <x:v>How to verify</x:v>
      </x:c>
    </x:row>
    <x:row r="2" ht="84" customHeight="1">
      <x:c r="A2" t="str">
        <x:v>1</x:v>
      </x:c>
      <x:c r="B2" s="12" t="str">
        <x:v>Understand the data</x:v>
      </x:c>
      <x:c r="C2" s="12" t="str">
        <x:v>Act as a junior data analyst. I have an Excel dataset with Order ID, Date, Month, City, Product, Units, Unit Price and Revenue. Explain what questions this dataset can answer. Do not claim to have analysed the file unless I attach it.</x:v>
      </x:c>
      <x:c r="D2" s="12" t="str">
        <x:v>Check that proposed questions can be answered by columns.</x:v>
      </x:c>
    </x:row>
    <x:row r="3" ht="84" customHeight="1">
      <x:c r="A3" t="str">
        <x:v>2</x:v>
      </x:c>
      <x:c r="B3" s="12" t="str">
        <x:v>Write an effective prompt</x:v>
      </x:c>
      <x:c r="C3" s="12" t="str">
        <x:v>Act as a retail data analyst. Using my attached Sales Data sheet, report total revenue, total orders and top product by revenue. Present results in a 3-row table and show the calculation logic. Do not invent missing data.</x:v>
      </x:c>
      <x:c r="D3" s="12" t="str">
        <x:v>Compare totals with Analysis tab.</x:v>
      </x:c>
    </x:row>
    <x:row r="4" ht="84" customHeight="1">
      <x:c r="A4" t="str">
        <x:v>3</x:v>
      </x:c>
      <x:c r="B4" s="12" t="str">
        <x:v>SQL prompting</x:v>
      </x:c>
      <x:c r="C4" s="12" t="str">
        <x:v>Write a beginner-friendly MySQL query that calculates revenue by product from a sales table with columns product, units and unit_price. Explain each line and assume revenue = units * unit_price.</x:v>
      </x:c>
      <x:c r="D4" s="12" t="str">
        <x:v>Run the query on a properly imported dataset.</x:v>
      </x:c>
    </x:row>
    <x:row r="5" ht="84" customHeight="1">
      <x:c r="A5" t="str">
        <x:v>4</x:v>
      </x:c>
      <x:c r="B5" s="12" t="str">
        <x:v>Excel prompting</x:v>
      </x:c>
      <x:c r="C5" s="12" t="str">
        <x:v>Suggest the Excel formulas to calculate revenue per order and revenue by month in my workbook. Explain which cells to use and why.</x:v>
      </x:c>
      <x:c r="D5" s="12" t="str">
        <x:v>Compare to H2 and monthly SUMIF formulas.</x:v>
      </x:c>
    </x:row>
    <x:row r="6" ht="84" customHeight="1">
      <x:c r="A6" t="str">
        <x:v>5</x:v>
      </x:c>
      <x:c r="B6" s="12" t="str">
        <x:v>Insight writing</x:v>
      </x:c>
      <x:c r="C6" s="12" t="str">
        <x:v>Based on the monthly revenue values that I paste, write 3 concise business insights. Distinguish observed trends from possible causes. Do not guess reasons that the data cannot establish.</x:v>
      </x:c>
      <x:c r="D6" s="12" t="str">
        <x:v>Verify each number, and check assumptions.</x:v>
      </x:c>
    </x:row>
    <x:row r="7" ht="84" customHeight="1">
      <x:c r="A7" t="str">
        <x:v>6</x:v>
      </x:c>
      <x:c r="B7" s="12" t="str">
        <x:v>Improving prompts</x:v>
      </x:c>
      <x:c r="C7" s="12" t="str">
        <x:v>Critique my prompt for ambiguity, lack of context and missing output requirements. Then rewrite it to be more precise and testable.</x:v>
      </x:c>
      <x:c r="D7" s="12" t="str">
        <x:v>Compare initial and improved output.</x:v>
      </x:c>
    </x:row>
    <x:row r="8" ht="84" customHeight="1">
      <x:c r="A8" t="str">
        <x:v>7</x:v>
      </x:c>
      <x:c r="B8" s="12" t="str">
        <x:v>Interview preparation</x:v>
      </x:c>
      <x:c r="C8" s="12" t="str">
        <x:v>Act as an interviewer for a junior data analyst position. Ask me five questions about my Excel and ChatGPT sales analysis project, one at a time. Then suggest improvements to my answers.</x:v>
      </x:c>
      <x:c r="D8" s="12" t="str">
        <x:v>Explain what you personally built and verified.</x:v>
      </x:c>
    </x:row>
  </x:sheetData>
  <x:pageMargins left="0.7" right="0.7" top="0.75" bottom="0.75" header="0.3" footer="0.3"/>
</x:worksheet>
</file>